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375"/>
  </bookViews>
  <sheets>
    <sheet name="模板" sheetId="1" r:id="rId1"/>
    <sheet name="预处理代码" sheetId="2" r:id="rId2"/>
    <sheet name="表头列宽字体字号调整" sheetId="3" r:id="rId3"/>
  </sheets>
  <calcPr calcId="144525"/>
</workbook>
</file>

<file path=xl/sharedStrings.xml><?xml version="1.0" encoding="utf-8"?>
<sst xmlns="http://schemas.openxmlformats.org/spreadsheetml/2006/main" count="470" uniqueCount="232">
  <si>
    <t>模板（无条件格式）</t>
  </si>
  <si>
    <t>考勤号码</t>
  </si>
  <si>
    <t>姓名</t>
  </si>
  <si>
    <t>日期</t>
  </si>
  <si>
    <t>时间</t>
  </si>
  <si>
    <t>xxx</t>
  </si>
  <si>
    <t>上月存息</t>
  </si>
  <si>
    <t>本月出勤</t>
  </si>
  <si>
    <t>本月例休</t>
  </si>
  <si>
    <t>本月休假</t>
  </si>
  <si>
    <t>剩余年假</t>
  </si>
  <si>
    <t>请假</t>
  </si>
  <si>
    <t>计薪</t>
  </si>
  <si>
    <t>迟到/早退</t>
  </si>
  <si>
    <t>漏打卡</t>
  </si>
  <si>
    <t>全勤</t>
  </si>
  <si>
    <t>上月存钟</t>
  </si>
  <si>
    <t>本月加钟</t>
  </si>
  <si>
    <t>本月补钟</t>
  </si>
  <si>
    <t>本月存钟</t>
  </si>
  <si>
    <t>超休补正：</t>
  </si>
  <si>
    <t>考勤确认表</t>
  </si>
  <si>
    <t>存息</t>
  </si>
  <si>
    <t>存钟</t>
  </si>
  <si>
    <t>全勤奖</t>
  </si>
  <si>
    <t>保安上12个钟、门店经理上9.5个钟、楼面经理上9-9.5个钟、楼面其他上8.5-9个钟、后勤洗杯星期六日上8.5个钟、财务上8.5个钟、采购上8个钟、饭堂上8个钟、其他全部上9个钟</t>
  </si>
  <si>
    <t>8时班（采购、饭堂）</t>
  </si>
  <si>
    <t>8.5时班（楼面C班、财务）</t>
  </si>
  <si>
    <t>9.5时班（门店经理）</t>
  </si>
  <si>
    <t>模板（有条件格式）</t>
  </si>
  <si>
    <t>直落漏卡或休半日漏卡</t>
  </si>
  <si>
    <t>休半日漏卡</t>
  </si>
  <si>
    <t>漏卡</t>
  </si>
  <si>
    <t>漏卡条件格式（无法得知是休半日漏卡还是直落漏卡）</t>
  </si>
  <si>
    <t>漏卡时计1处标红条件格式（录指纹时按漏卡算）</t>
  </si>
  <si>
    <t>说明：</t>
  </si>
  <si>
    <t>出勤满9时算出勤1天、满4.5时算出勤0.5天，出勤钟数加补钟满9时算出勤1天、满4.5时算出勤0.5天</t>
  </si>
  <si>
    <t>加钟在L列写，补钟在M列写</t>
  </si>
  <si>
    <t>休息、休半日可以自动判断，请假在K列把原来的休息改成“事假”、“事假半日”、“病假”、“病假半日”、...</t>
  </si>
  <si>
    <t>要填写：上月存息、本月例休、迟到早退、漏卡、上月存钟</t>
  </si>
  <si>
    <t>要处理的情况：</t>
  </si>
  <si>
    <t>改J列：</t>
  </si>
  <si>
    <t>1、补钟补完不够出勤钟数要求</t>
  </si>
  <si>
    <t>2、漏卡</t>
  </si>
  <si>
    <t>处理单个文件</t>
  </si>
  <si>
    <t>Sub 考勤预处理1()</t>
  </si>
  <si>
    <t xml:space="preserve">                                            </t>
  </si>
  <si>
    <t xml:space="preserve"> '用于考勤数据预处理</t>
  </si>
  <si>
    <t xml:space="preserve">    Columns("C:C").Delete '删除部门列</t>
  </si>
  <si>
    <t xml:space="preserve">                                                </t>
  </si>
  <si>
    <t xml:space="preserve">    Columns("D:D").Select</t>
  </si>
  <si>
    <t xml:space="preserve">    Selection.Insert Shift:=xlShiftToRight</t>
  </si>
  <si>
    <t xml:space="preserve">    With Columns("C:C")</t>
  </si>
  <si>
    <t xml:space="preserve">        .TextToColumns Destination:=Range("C1"), Other:=True, OtherChar:=" " ' 按空格分列，分开日期和星期，放在A1起始的单元格</t>
  </si>
  <si>
    <t xml:space="preserve">    End With</t>
  </si>
  <si>
    <t xml:space="preserve">    With Columns("E:E")</t>
  </si>
  <si>
    <t xml:space="preserve">        .TextToColumns Destination:=Range("E1"), Other:=True, OtherChar:=" " ' 按空格分列，分开上下班时间，放在E1起始的单元格</t>
  </si>
  <si>
    <t xml:space="preserve">    Columns("D:D").Delete '删除分出来的星期列</t>
  </si>
  <si>
    <t xml:space="preserve">    </t>
  </si>
  <si>
    <t xml:space="preserve">    '排序</t>
  </si>
  <si>
    <t xml:space="preserve">    Set area = Range("A1:P1500")</t>
  </si>
  <si>
    <t xml:space="preserve">    area.Sort Key1:="姓名", Order1:=xlAscending, Key2:="日期", Order2:=xlAscending, Header:=xlYes</t>
  </si>
  <si>
    <t>End Sub</t>
  </si>
  <si>
    <t>处理文件夹内所有文件（不含子文件夹）</t>
  </si>
  <si>
    <t>Sub 考勤预处理2()</t>
  </si>
  <si>
    <t xml:space="preserve">    Dim iBk As Workbook, sh As Worksheet, i%, iFiles</t>
  </si>
  <si>
    <t xml:space="preserve">    iFiles = Application.GetOpenFilename("Excel Files (*.xls), *.xls", , "请选择要导出的工作簿，勿含已打开文件", , True)</t>
  </si>
  <si>
    <t xml:space="preserve">    If IsArray(iFiles) = 0 Then MsgBox "没有选择文件!": Exit Sub</t>
  </si>
  <si>
    <t xml:space="preserve">    For i = LBound(iFiles) To UBound(iFiles)</t>
  </si>
  <si>
    <t xml:space="preserve">        Set iBk = Workbooks.Open(iFiles(i))</t>
  </si>
  <si>
    <t xml:space="preserve">        With iBk.Worksheets(1)</t>
  </si>
  <si>
    <t xml:space="preserve">         '以下为对每个文件进行处理的代码</t>
  </si>
  <si>
    <t xml:space="preserve">          '******************************************************************</t>
  </si>
  <si>
    <t xml:space="preserve">                Columns("C:C").Delete '删除部门列</t>
  </si>
  <si>
    <t xml:space="preserve">                                                            </t>
  </si>
  <si>
    <t xml:space="preserve">                Columns("D:D").Select</t>
  </si>
  <si>
    <t xml:space="preserve">                Selection.Insert Shift:=xlShiftToRight</t>
  </si>
  <si>
    <t xml:space="preserve">                With Columns("C:C")</t>
  </si>
  <si>
    <t xml:space="preserve">                    .TextToColumns Destination:=Range("C1"), Other:=True, OtherChar:=" " ' 按空格分列，分开日期和星期，放在A1起始的单元格</t>
  </si>
  <si>
    <t xml:space="preserve">                End With</t>
  </si>
  <si>
    <t xml:space="preserve">                With Columns("E:E")</t>
  </si>
  <si>
    <t xml:space="preserve">                    .TextToColumns Destination:=Range("E1"), Other:=True, OtherChar:=" " ' 按空格分列，分开上下班时间，放在E1起始的单元格</t>
  </si>
  <si>
    <t xml:space="preserve">                Columns("D:D").Delete '删除分出来的星期列</t>
  </si>
  <si>
    <t xml:space="preserve">                </t>
  </si>
  <si>
    <t xml:space="preserve">                '排序</t>
  </si>
  <si>
    <t xml:space="preserve">                Set area = Range("A1:P1500")</t>
  </si>
  <si>
    <t xml:space="preserve">                area.Sort Key1:="姓名", Order1:=xlAscending, Key2:="日期", Order2:=xlAscending, Header:=xlYes</t>
  </si>
  <si>
    <t xml:space="preserve">         '以上为对每个文件进行处理的代码</t>
  </si>
  <si>
    <t xml:space="preserve">        End With</t>
  </si>
  <si>
    <t xml:space="preserve">        iBk.Close True '保存改为true</t>
  </si>
  <si>
    <t xml:space="preserve">    Next i</t>
  </si>
  <si>
    <t xml:space="preserve">    Set iBk = Nothing</t>
  </si>
  <si>
    <t xml:space="preserve">    MsgBox "完成！"</t>
  </si>
  <si>
    <t xml:space="preserve"> '处理文件夹内所有文件（递归遍历子文件夹）</t>
  </si>
  <si>
    <t>Sub 考勤预处理3()</t>
  </si>
  <si>
    <t xml:space="preserve">    '弹出对话框，打开一个文件夹，并调用递归遍历的函数，查找文件夹内所有文件</t>
  </si>
  <si>
    <t xml:space="preserve">    With Application.FileDialog(msoFileDialogFolderPicker)</t>
  </si>
  <si>
    <t xml:space="preserve">        If .Show = True Then</t>
  </si>
  <si>
    <t xml:space="preserve">            GetFolderName = .SelectedItems(1)</t>
  </si>
  <si>
    <t xml:space="preserve">            Call EnumAllFiles1(GetFolderName, True)</t>
  </si>
  <si>
    <t xml:space="preserve">        End If</t>
  </si>
  <si>
    <t>Sub EnumAllFiles1(ByVal sPath As String, Optional bEnuSub As Boolean = False)</t>
  </si>
  <si>
    <t xml:space="preserve">    '定义文件系统对象</t>
  </si>
  <si>
    <t xml:space="preserve">    Dim oFso As Object</t>
  </si>
  <si>
    <t xml:space="preserve">    Set oFso = CreateObject("Scripting.FileSystemObject")</t>
  </si>
  <si>
    <t xml:space="preserve">    '定义文件夹对象</t>
  </si>
  <si>
    <t xml:space="preserve">    Dim oFolder As Object</t>
  </si>
  <si>
    <t xml:space="preserve">    Set oFolder = oFso.GetFolder(sPath)</t>
  </si>
  <si>
    <t xml:space="preserve">    '定义文件对象</t>
  </si>
  <si>
    <t xml:space="preserve">    Dim oFile As Object</t>
  </si>
  <si>
    <t xml:space="preserve">    '如果指定的文件夹含有文件</t>
  </si>
  <si>
    <t xml:space="preserve">    If oFolder.Files.Count Then</t>
  </si>
  <si>
    <t xml:space="preserve">        For Each oFile In oFolder.Files</t>
  </si>
  <si>
    <t xml:space="preserve">            With oFile</t>
  </si>
  <si>
    <t xml:space="preserve">                '输出文件所在的盘符</t>
  </si>
  <si>
    <t xml:space="preserve">                Dim sDrive As String</t>
  </si>
  <si>
    <t xml:space="preserve">                sDrive = .Drive</t>
  </si>
  <si>
    <t xml:space="preserve">                '输出文件的类型</t>
  </si>
  <si>
    <t xml:space="preserve">                Dim sType As String</t>
  </si>
  <si>
    <t xml:space="preserve">                sType = .Type</t>
  </si>
  <si>
    <t xml:space="preserve">                '输出含后缀名的文件名称</t>
  </si>
  <si>
    <t xml:space="preserve">                Dim sName As String</t>
  </si>
  <si>
    <t xml:space="preserve">                sName = .Name</t>
  </si>
  <si>
    <t xml:space="preserve">                '输出含文件名的完整路径</t>
  </si>
  <si>
    <t xml:space="preserve">                Dim sFilePath As String</t>
  </si>
  <si>
    <t xml:space="preserve">                sFilePath = .Path</t>
  </si>
  <si>
    <t xml:space="preserve">                '输出文件的上次修改时间</t>
  </si>
  <si>
    <t xml:space="preserve">                Dim dDLM</t>
  </si>
  <si>
    <t xml:space="preserve">                dDLM = .DateLastModified</t>
  </si>
  <si>
    <t xml:space="preserve">                 '输出文件的上次访问时间</t>
  </si>
  <si>
    <t xml:space="preserve">                Dim dDLA</t>
  </si>
  <si>
    <t xml:space="preserve">                dDLA = .DateLastAccessed</t>
  </si>
  <si>
    <t xml:space="preserve">                 '输出文件的创建时间</t>
  </si>
  <si>
    <t xml:space="preserve">                Dim dDC</t>
  </si>
  <si>
    <t xml:space="preserve">                dDC = .DateCreated</t>
  </si>
  <si>
    <t xml:space="preserve">                 '输出文件的属性</t>
  </si>
  <si>
    <t xml:space="preserve">                Dim sATT</t>
  </si>
  <si>
    <t xml:space="preserve">                sATT = .Attributes</t>
  </si>
  <si>
    <t xml:space="preserve">                    Debug.Print sType</t>
  </si>
  <si>
    <t xml:space="preserve">                '如果文件是Excel文件</t>
  </si>
  <si>
    <t xml:space="preserve">                If sType Like "*XLS*" Then</t>
  </si>
  <si>
    <t xml:space="preserve">                    Debug.Print sFilePath</t>
  </si>
  <si>
    <t xml:space="preserve">                    '以下是对每个文件进行处理的代码</t>
  </si>
  <si>
    <t xml:space="preserve">                    '******************************************************************</t>
  </si>
  <si>
    <t xml:space="preserve">                        Set iBk = Workbooks.Open(sFilePath)</t>
  </si>
  <si>
    <t xml:space="preserve">                        With iBk.Worksheets(1)</t>
  </si>
  <si>
    <t xml:space="preserve">                            Columns("C:C").Delete '删除部门列</t>
  </si>
  <si>
    <t xml:space="preserve">                                                                </t>
  </si>
  <si>
    <t xml:space="preserve">                            Columns("D:D").Select</t>
  </si>
  <si>
    <t xml:space="preserve">                            Selection.Insert Shift:=xlShiftToRight</t>
  </si>
  <si>
    <t xml:space="preserve">                                                                        </t>
  </si>
  <si>
    <t xml:space="preserve">                            With Columns("C:C")</t>
  </si>
  <si>
    <t xml:space="preserve">                                .TextToColumns Destination:=Range("C1"), Other:=True, OtherChar:=" " ' 按空格分列，分开日期和星期，放在A1起始的单元格</t>
  </si>
  <si>
    <t xml:space="preserve">                            End With</t>
  </si>
  <si>
    <t xml:space="preserve">                            With Columns("E:E")</t>
  </si>
  <si>
    <t xml:space="preserve">                                .TextToColumns Destination:=Range("E1"), Other:=True, OtherChar:=" " ' 按空格分列，分开上下班时间，放在E1起始的单元格</t>
  </si>
  <si>
    <t xml:space="preserve">                            Columns("D:D").Delete '删除分出来的星期列</t>
  </si>
  <si>
    <t xml:space="preserve">                            </t>
  </si>
  <si>
    <t xml:space="preserve">                            '排序</t>
  </si>
  <si>
    <t xml:space="preserve">                            Set area = Range("A1:P1500")</t>
  </si>
  <si>
    <t xml:space="preserve">                            area.Sort Key1:="姓名", Order1:=xlAscending, Key2:="日期", Order2:=xlAscending, Header:=xlYes</t>
  </si>
  <si>
    <t xml:space="preserve">                        End With</t>
  </si>
  <si>
    <t xml:space="preserve">                        iBk.Close True '保存为true</t>
  </si>
  <si>
    <t xml:space="preserve">                     '******************************************************************</t>
  </si>
  <si>
    <t xml:space="preserve">                Else</t>
  </si>
  <si>
    <t xml:space="preserve">                End If</t>
  </si>
  <si>
    <t xml:space="preserve">            End With</t>
  </si>
  <si>
    <t xml:space="preserve">        Next</t>
  </si>
  <si>
    <t xml:space="preserve">    '如果指定的文件夹不含有文件</t>
  </si>
  <si>
    <t xml:space="preserve">    Else</t>
  </si>
  <si>
    <t xml:space="preserve">    End If</t>
  </si>
  <si>
    <t xml:space="preserve">    '如果要遍历子文件夹</t>
  </si>
  <si>
    <t xml:space="preserve">    If bEnuSub = True Then</t>
  </si>
  <si>
    <t xml:space="preserve">        '定义子文件夹集合对象</t>
  </si>
  <si>
    <t xml:space="preserve">        Dim oSubFolders As Object</t>
  </si>
  <si>
    <t xml:space="preserve">        Set oSubFolders = oFolder.SubFolders</t>
  </si>
  <si>
    <t xml:space="preserve">        If oSubFolders.Count &gt; 0 Then</t>
  </si>
  <si>
    <t xml:space="preserve">            For Each oTempFolder In oSubFolders</t>
  </si>
  <si>
    <t xml:space="preserve">                sTempPath = oTempFolder.Path</t>
  </si>
  <si>
    <t xml:space="preserve">                Call EnumAllFiles1(sTempPath, True)</t>
  </si>
  <si>
    <t xml:space="preserve">            Next</t>
  </si>
  <si>
    <t xml:space="preserve">        Set oSubFolders = Nothing</t>
  </si>
  <si>
    <t xml:space="preserve">    Set oFile = Nothing</t>
  </si>
  <si>
    <t xml:space="preserve">    Set oFolder = Nothing</t>
  </si>
  <si>
    <t xml:space="preserve">    Set oFso = Nothing</t>
  </si>
  <si>
    <t>Sub 表头列宽字体字号调整1()</t>
  </si>
  <si>
    <t xml:space="preserve">    Cells.Select</t>
  </si>
  <si>
    <t xml:space="preserve">    Cells.ColumnWidth = 8.38</t>
  </si>
  <si>
    <t xml:space="preserve">    With Cells</t>
  </si>
  <si>
    <t xml:space="preserve">        .EntireColumn.Hidden = False</t>
  </si>
  <si>
    <t xml:space="preserve">        .ColumnWidth = 9.5</t>
  </si>
  <si>
    <t xml:space="preserve">    Columns("A:J").Select</t>
  </si>
  <si>
    <t xml:space="preserve">    Selection.Font.Size = 10</t>
  </si>
  <si>
    <t xml:space="preserve">    Selection.Font.Name = "Arial"</t>
  </si>
  <si>
    <t>Sub 表头列宽字体字号调整3()</t>
  </si>
  <si>
    <t xml:space="preserve">            Call EnumAllFiles2(GetFolderName, True)</t>
  </si>
  <si>
    <t>Sub EnumAllFiles2(ByVal sPath As String, Optional bEnuSub As Boolean = False)</t>
  </si>
  <si>
    <t xml:space="preserve">                        </t>
  </si>
  <si>
    <t xml:space="preserve">                            '加上表头</t>
  </si>
  <si>
    <t xml:space="preserve">                            Range("A1").Select</t>
  </si>
  <si>
    <t xml:space="preserve">                            With Selection</t>
  </si>
  <si>
    <t xml:space="preserve">                                .Formula = "考勤号码"</t>
  </si>
  <si>
    <t xml:space="preserve">                                With .Characters.Font</t>
  </si>
  <si>
    <t xml:space="preserve">                                    .Name = "宋体"</t>
  </si>
  <si>
    <t xml:space="preserve">                                    .Bold = False</t>
  </si>
  <si>
    <t xml:space="preserve">                                    .Italic = False</t>
  </si>
  <si>
    <t xml:space="preserve">                                    .Strikethrough = False</t>
  </si>
  <si>
    <t xml:space="preserve">                                    .Superscript = False</t>
  </si>
  <si>
    <t xml:space="preserve">                                    .Subscript = False</t>
  </si>
  <si>
    <t xml:space="preserve">                                    .ThemeColor = 2</t>
  </si>
  <si>
    <t xml:space="preserve">                                    .TintAndShade = 0</t>
  </si>
  <si>
    <t xml:space="preserve">                                    .Underline = xlUnderlineStyleNone</t>
  </si>
  <si>
    <t xml:space="preserve">                                    .Size = 10</t>
  </si>
  <si>
    <t xml:space="preserve">                                End With</t>
  </si>
  <si>
    <t xml:space="preserve">                            Range("B1").Select</t>
  </si>
  <si>
    <t xml:space="preserve">                                .Formula = "姓名"</t>
  </si>
  <si>
    <t xml:space="preserve">                            Range("C1").Select</t>
  </si>
  <si>
    <t xml:space="preserve">                                .Formula = "日期"</t>
  </si>
  <si>
    <t xml:space="preserve">                            Range("D1").Select</t>
  </si>
  <si>
    <t xml:space="preserve">                                .Formula = "时间"</t>
  </si>
  <si>
    <t xml:space="preserve">                            Range("A1:D1").Select</t>
  </si>
  <si>
    <t xml:space="preserve">                            Selection.Font.Bold = True</t>
  </si>
  <si>
    <t xml:space="preserve">                            '调整列宽，字体字号</t>
  </si>
  <si>
    <t xml:space="preserve">                            Cells.Select</t>
  </si>
  <si>
    <t xml:space="preserve">                            Cells.ColumnWidth = 8.38</t>
  </si>
  <si>
    <t xml:space="preserve">                            With Cells</t>
  </si>
  <si>
    <t xml:space="preserve">                                .EntireColumn.Hidden = False</t>
  </si>
  <si>
    <t xml:space="preserve">                                .ColumnWidth = 9.5</t>
  </si>
  <si>
    <t xml:space="preserve">                            Columns("A:J").Select</t>
  </si>
  <si>
    <t xml:space="preserve">                            Selection.Font.Name = "Arial"</t>
  </si>
  <si>
    <t xml:space="preserve">                            Selection.Font.Size = 10</t>
  </si>
  <si>
    <t xml:space="preserve">                Call EnumAllFiles2(sTempPath, True)</t>
  </si>
</sst>
</file>

<file path=xl/styles.xml><?xml version="1.0" encoding="utf-8"?>
<styleSheet xmlns="http://schemas.openxmlformats.org/spreadsheetml/2006/main">
  <numFmts count="6">
    <numFmt numFmtId="176" formatCode="h:mm:ss;@"/>
    <numFmt numFmtId="177" formatCode="h:mm;@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</numFmts>
  <fonts count="25">
    <font>
      <sz val="11"/>
      <color theme="1"/>
      <name val="Calibri"/>
      <charset val="134"/>
      <scheme val="minor"/>
    </font>
    <font>
      <sz val="11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1"/>
      <color indexed="8"/>
      <name val="宋体"/>
      <charset val="134"/>
    </font>
    <font>
      <sz val="10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8"/>
      <color theme="3"/>
      <name val="Calibri"/>
      <charset val="134"/>
      <scheme val="minor"/>
    </font>
    <font>
      <sz val="11"/>
      <color rgb="FF0061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5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3"/>
      <color theme="3"/>
      <name val="Calibri"/>
      <charset val="134"/>
      <scheme val="minor"/>
    </font>
    <font>
      <b/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FF0000"/>
      <name val="Calibri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0" fontId="16" fillId="28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23" fillId="0" borderId="15" applyNumberFormat="0" applyFill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21" fillId="0" borderId="13" applyNumberFormat="0" applyFill="0" applyAlignment="0" applyProtection="0">
      <alignment vertical="center"/>
    </xf>
    <xf numFmtId="0" fontId="22" fillId="19" borderId="1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0" fillId="12" borderId="12" applyNumberFormat="0" applyFont="0" applyAlignment="0" applyProtection="0">
      <alignment vertical="center"/>
    </xf>
    <xf numFmtId="0" fontId="13" fillId="7" borderId="10" applyNumberForma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0" fillId="19" borderId="10" applyNumberFormat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9" fillId="0" borderId="8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9" fillId="0" borderId="11" applyNumberFormat="0" applyFill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6" borderId="9" applyNumberFormat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1" fillId="2" borderId="0" xfId="0" applyFont="1" applyFill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3" fillId="0" borderId="0" xfId="0" applyFont="1">
      <alignment vertical="center"/>
    </xf>
    <xf numFmtId="14" fontId="0" fillId="0" borderId="0" xfId="0" applyNumberFormat="1">
      <alignment vertical="center"/>
    </xf>
    <xf numFmtId="177" fontId="0" fillId="0" borderId="0" xfId="0" applyNumberFormat="1" applyFill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176" fontId="0" fillId="0" borderId="0" xfId="0" applyNumberFormat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77" fontId="0" fillId="0" borderId="2" xfId="0" applyNumberFormat="1" applyFill="1" applyBorder="1" applyAlignment="1">
      <alignment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77" fontId="0" fillId="0" borderId="4" xfId="0" applyNumberFormat="1" applyFill="1" applyBorder="1" applyAlignment="1">
      <alignment vertical="center"/>
    </xf>
    <xf numFmtId="0" fontId="0" fillId="0" borderId="0" xfId="0" applyAlignment="1">
      <alignment horizontal="center" vertical="center" wrapText="1"/>
    </xf>
    <xf numFmtId="177" fontId="0" fillId="0" borderId="0" xfId="0" applyNumberFormat="1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77" fontId="0" fillId="0" borderId="6" xfId="0" applyNumberFormat="1" applyFill="1" applyBorder="1" applyAlignment="1">
      <alignment vertical="center"/>
    </xf>
    <xf numFmtId="0" fontId="5" fillId="0" borderId="1" xfId="0" applyFont="1" applyBorder="1" applyAlignment="1">
      <alignment horizontal="center" vertical="center" wrapText="1"/>
    </xf>
    <xf numFmtId="177" fontId="0" fillId="0" borderId="7" xfId="0" applyNumberFormat="1" applyFill="1" applyBorder="1" applyAlignment="1">
      <alignment vertical="center"/>
    </xf>
    <xf numFmtId="0" fontId="5" fillId="0" borderId="3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0" xfId="0" applyBorder="1">
      <alignment vertical="center"/>
    </xf>
    <xf numFmtId="0" fontId="5" fillId="0" borderId="4" xfId="0" applyFont="1" applyBorder="1" applyAlignment="1">
      <alignment horizontal="center" vertical="center" wrapText="1"/>
    </xf>
    <xf numFmtId="0" fontId="0" fillId="0" borderId="7" xfId="0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NumberFormat="1">
      <alignment vertical="center"/>
    </xf>
    <xf numFmtId="0" fontId="0" fillId="0" borderId="0" xfId="0" quotePrefix="1">
      <alignment vertical="center"/>
    </xf>
  </cellXfs>
  <cellStyles count="49">
    <cellStyle name="Normal" xfId="0" builtinId="0"/>
    <cellStyle name="60% - Accent6" xfId="1" builtinId="52"/>
    <cellStyle name="40% - Accent6" xfId="2" builtinId="51"/>
    <cellStyle name="60% - Accent5" xfId="3" builtinId="48"/>
    <cellStyle name="Accent6" xfId="4" builtinId="49"/>
    <cellStyle name="40% - Accent5" xfId="5" builtinId="47"/>
    <cellStyle name="20% - Accent5" xfId="6" builtinId="46"/>
    <cellStyle name="60% - Accent4" xfId="7" builtinId="44"/>
    <cellStyle name="Accent5" xfId="8" builtinId="45"/>
    <cellStyle name="40% - Accent4" xfId="9" builtinId="43"/>
    <cellStyle name="Accent4" xfId="10" builtinId="41"/>
    <cellStyle name="Linked Cell" xfId="11" builtinId="24"/>
    <cellStyle name="40% - Accent3" xfId="12" builtinId="39"/>
    <cellStyle name="60% - Accent2" xfId="13" builtinId="36"/>
    <cellStyle name="Accent3" xfId="14" builtinId="37"/>
    <cellStyle name="40% - Accent2" xfId="15" builtinId="35"/>
    <cellStyle name="20% - Accent2" xfId="16" builtinId="34"/>
    <cellStyle name="Accent2" xfId="17" builtinId="33"/>
    <cellStyle name="40% - Accent1" xfId="18" builtinId="31"/>
    <cellStyle name="20% - Accent1" xfId="19" builtinId="30"/>
    <cellStyle name="Accent1" xfId="20" builtinId="29"/>
    <cellStyle name="Neutral" xfId="21" builtinId="28"/>
    <cellStyle name="60% - Accent1" xfId="22" builtinId="32"/>
    <cellStyle name="Bad" xfId="23" builtinId="27"/>
    <cellStyle name="20% - Accent4" xfId="24" builtinId="42"/>
    <cellStyle name="Total" xfId="25" builtinId="25"/>
    <cellStyle name="Output" xfId="26" builtinId="21"/>
    <cellStyle name="Currency" xfId="27" builtinId="4"/>
    <cellStyle name="20% - Accent3" xfId="28" builtinId="38"/>
    <cellStyle name="Note" xfId="29" builtinId="10"/>
    <cellStyle name="Input" xfId="30" builtinId="20"/>
    <cellStyle name="Heading 4" xfId="31" builtinId="19"/>
    <cellStyle name="Calculation" xfId="32" builtinId="22"/>
    <cellStyle name="Good" xfId="33" builtinId="26"/>
    <cellStyle name="Heading 3" xfId="34" builtinId="18"/>
    <cellStyle name="CExplanatory Text" xfId="35" builtinId="53"/>
    <cellStyle name="Heading 1" xfId="36" builtinId="16"/>
    <cellStyle name="Comma [0]" xfId="37" builtinId="6"/>
    <cellStyle name="20% - Accent6" xfId="38" builtinId="50"/>
    <cellStyle name="Title" xfId="39" builtinId="15"/>
    <cellStyle name="Currency [0]" xfId="40" builtinId="7"/>
    <cellStyle name="Warning Text" xfId="41" builtinId="11"/>
    <cellStyle name="Followed Hyperlink" xfId="42" builtinId="9"/>
    <cellStyle name="Heading 2" xfId="43" builtinId="17"/>
    <cellStyle name="Comma" xfId="44" builtinId="3"/>
    <cellStyle name="Check Cell" xfId="45" builtinId="23"/>
    <cellStyle name="60% - Accent3" xfId="46" builtinId="40"/>
    <cellStyle name="Percent" xfId="47" builtinId="5"/>
    <cellStyle name="Hyperlink" xfId="48" builtinId="8"/>
  </cellStyles>
  <dxfs count="3">
    <dxf>
      <fill>
        <patternFill patternType="solid">
          <bgColor rgb="FFFFFF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Q108"/>
  <sheetViews>
    <sheetView tabSelected="1" topLeftCell="A63" workbookViewId="0">
      <selection activeCell="J83" sqref="J83"/>
    </sheetView>
  </sheetViews>
  <sheetFormatPr defaultColWidth="9" defaultRowHeight="15.75"/>
  <cols>
    <col min="1" max="14" width="9.5" customWidth="1"/>
  </cols>
  <sheetData>
    <row r="1" spans="1:10">
      <c r="A1" s="4" t="s">
        <v>0</v>
      </c>
      <c r="B1" s="5"/>
      <c r="C1" s="5"/>
      <c r="D1" s="5"/>
      <c r="E1" s="5"/>
      <c r="F1" s="5"/>
      <c r="G1" s="5"/>
      <c r="H1" s="5"/>
      <c r="I1" s="5"/>
      <c r="J1" s="18"/>
    </row>
    <row r="2" spans="1:10">
      <c r="A2" s="6"/>
      <c r="B2" s="7"/>
      <c r="C2" s="7"/>
      <c r="D2" s="7"/>
      <c r="E2" s="7"/>
      <c r="F2" s="7"/>
      <c r="G2" s="7"/>
      <c r="H2" s="7"/>
      <c r="I2" s="7"/>
      <c r="J2" s="19"/>
    </row>
    <row r="3" spans="1:4">
      <c r="A3" s="8" t="s">
        <v>1</v>
      </c>
      <c r="B3" s="8" t="s">
        <v>2</v>
      </c>
      <c r="C3" s="8" t="s">
        <v>3</v>
      </c>
      <c r="D3" s="8" t="s">
        <v>4</v>
      </c>
    </row>
    <row r="4" spans="1:11">
      <c r="A4">
        <v>0</v>
      </c>
      <c r="B4" t="s">
        <v>5</v>
      </c>
      <c r="C4" s="9">
        <v>43678</v>
      </c>
      <c r="D4" s="10"/>
      <c r="E4" s="10"/>
      <c r="F4" s="10"/>
      <c r="G4" s="10"/>
      <c r="I4" s="20">
        <f t="shared" ref="I4:I34" si="0">E4-D4+G4-F4</f>
        <v>0</v>
      </c>
      <c r="J4">
        <f>IFERROR(IF(HOUR(I4)*60+MINUTE(I4)+M4*60&gt;=540,1,IF(HOUR(I4)*60+MINUTE(I4)+M4*60&gt;=270,0.5,0)),"")</f>
        <v>0</v>
      </c>
      <c r="K4" t="str">
        <f t="shared" ref="K4:K34" si="1">IF(AND(NOT(ISBLANK(D4)),ISBLANK(E4),ISBLANK(F4),NOT(ISBLANK(G4))),"直落","")&amp;IF(AND(J4=0,M4&lt;&gt;9),"休息","")&amp;IF(J4=0.5,"休半日","")&amp;IF(L4&gt;0,"加钟","")&amp;IF(M4&gt;0,"补钟","")&amp;IF(OR(MOD(ISBLANK(D4)*1+ISBLANK(E4)*1+ISBLANK(F4)*1+ISBLANK(G4)*1,2)&lt;&gt;0,ISERROR(IF(HOUR(I4)*60+MINUTE(I4)+M4*60&gt;=540,1,IF(HOUR(I4)*60+MINUTE(I4)+M4*60&gt;=270,0.5,0)))),"漏卡","")</f>
        <v>休息</v>
      </c>
    </row>
    <row r="5" spans="1:11">
      <c r="A5">
        <v>0</v>
      </c>
      <c r="B5" t="s">
        <v>5</v>
      </c>
      <c r="C5" s="9">
        <v>43679</v>
      </c>
      <c r="D5" s="10"/>
      <c r="E5" s="10"/>
      <c r="F5" s="10"/>
      <c r="G5" s="10"/>
      <c r="I5" s="20">
        <f t="shared" si="0"/>
        <v>0</v>
      </c>
      <c r="J5">
        <f t="shared" ref="J5:J34" si="2">IFERROR(IF(HOUR(I5)*60+MINUTE(I5)+M5*60&gt;=540,1,IF(HOUR(I5)*60+MINUTE(I5)+M5*60&gt;=270,0.5,0)),"")</f>
        <v>0</v>
      </c>
      <c r="K5" t="str">
        <f t="shared" si="1"/>
        <v>休息</v>
      </c>
    </row>
    <row r="6" spans="1:11">
      <c r="A6">
        <v>0</v>
      </c>
      <c r="B6" t="s">
        <v>5</v>
      </c>
      <c r="C6" s="9">
        <v>43680</v>
      </c>
      <c r="D6" s="10"/>
      <c r="E6" s="10"/>
      <c r="F6" s="10"/>
      <c r="G6" s="10"/>
      <c r="I6" s="20">
        <f t="shared" si="0"/>
        <v>0</v>
      </c>
      <c r="J6">
        <f t="shared" si="2"/>
        <v>0</v>
      </c>
      <c r="K6" t="str">
        <f t="shared" si="1"/>
        <v>休息</v>
      </c>
    </row>
    <row r="7" spans="1:11">
      <c r="A7">
        <v>0</v>
      </c>
      <c r="B7" t="s">
        <v>5</v>
      </c>
      <c r="C7" s="9">
        <v>43681</v>
      </c>
      <c r="D7" s="10"/>
      <c r="E7" s="10"/>
      <c r="F7" s="10"/>
      <c r="G7" s="10"/>
      <c r="I7" s="20">
        <f t="shared" si="0"/>
        <v>0</v>
      </c>
      <c r="J7">
        <f t="shared" si="2"/>
        <v>0</v>
      </c>
      <c r="K7" t="str">
        <f t="shared" si="1"/>
        <v>休息</v>
      </c>
    </row>
    <row r="8" spans="1:11">
      <c r="A8">
        <v>0</v>
      </c>
      <c r="B8" t="s">
        <v>5</v>
      </c>
      <c r="C8" s="9">
        <v>43682</v>
      </c>
      <c r="D8" s="10"/>
      <c r="E8" s="10"/>
      <c r="F8" s="10"/>
      <c r="G8" s="10"/>
      <c r="I8" s="20">
        <f t="shared" si="0"/>
        <v>0</v>
      </c>
      <c r="J8">
        <f t="shared" si="2"/>
        <v>0</v>
      </c>
      <c r="K8" t="str">
        <f t="shared" si="1"/>
        <v>休息</v>
      </c>
    </row>
    <row r="9" spans="1:11">
      <c r="A9">
        <v>0</v>
      </c>
      <c r="B9" t="s">
        <v>5</v>
      </c>
      <c r="C9" s="9">
        <v>43683</v>
      </c>
      <c r="D9" s="10"/>
      <c r="E9" s="10"/>
      <c r="F9" s="10"/>
      <c r="G9" s="10"/>
      <c r="I9" s="20">
        <f t="shared" si="0"/>
        <v>0</v>
      </c>
      <c r="J9">
        <f t="shared" si="2"/>
        <v>0</v>
      </c>
      <c r="K9" t="str">
        <f t="shared" si="1"/>
        <v>休息</v>
      </c>
    </row>
    <row r="10" spans="1:11">
      <c r="A10">
        <v>0</v>
      </c>
      <c r="B10" t="s">
        <v>5</v>
      </c>
      <c r="C10" s="9">
        <v>43684</v>
      </c>
      <c r="D10" s="10"/>
      <c r="E10" s="10"/>
      <c r="F10" s="10"/>
      <c r="G10" s="10"/>
      <c r="I10" s="20">
        <f t="shared" si="0"/>
        <v>0</v>
      </c>
      <c r="J10">
        <f t="shared" si="2"/>
        <v>0</v>
      </c>
      <c r="K10" t="str">
        <f t="shared" si="1"/>
        <v>休息</v>
      </c>
    </row>
    <row r="11" spans="1:11">
      <c r="A11">
        <v>0</v>
      </c>
      <c r="B11" t="s">
        <v>5</v>
      </c>
      <c r="C11" s="9">
        <v>43685</v>
      </c>
      <c r="D11" s="10"/>
      <c r="E11" s="10"/>
      <c r="F11" s="10"/>
      <c r="G11" s="10"/>
      <c r="I11" s="20">
        <f t="shared" si="0"/>
        <v>0</v>
      </c>
      <c r="J11">
        <f t="shared" si="2"/>
        <v>0</v>
      </c>
      <c r="K11" t="str">
        <f t="shared" si="1"/>
        <v>休息</v>
      </c>
    </row>
    <row r="12" spans="1:11">
      <c r="A12">
        <v>0</v>
      </c>
      <c r="B12" t="s">
        <v>5</v>
      </c>
      <c r="C12" s="9">
        <v>43686</v>
      </c>
      <c r="D12" s="10"/>
      <c r="E12" s="10"/>
      <c r="F12" s="10"/>
      <c r="G12" s="10"/>
      <c r="I12" s="20">
        <f t="shared" si="0"/>
        <v>0</v>
      </c>
      <c r="J12">
        <f t="shared" si="2"/>
        <v>0</v>
      </c>
      <c r="K12" t="str">
        <f t="shared" si="1"/>
        <v>休息</v>
      </c>
    </row>
    <row r="13" spans="1:11">
      <c r="A13">
        <v>0</v>
      </c>
      <c r="B13" t="s">
        <v>5</v>
      </c>
      <c r="C13" s="9">
        <v>43687</v>
      </c>
      <c r="D13" s="10"/>
      <c r="E13" s="10"/>
      <c r="F13" s="10"/>
      <c r="G13" s="10"/>
      <c r="I13" s="20">
        <f t="shared" si="0"/>
        <v>0</v>
      </c>
      <c r="J13">
        <f t="shared" si="2"/>
        <v>0</v>
      </c>
      <c r="K13" t="str">
        <f t="shared" si="1"/>
        <v>休息</v>
      </c>
    </row>
    <row r="14" spans="1:11">
      <c r="A14">
        <v>0</v>
      </c>
      <c r="B14" t="s">
        <v>5</v>
      </c>
      <c r="C14" s="9">
        <v>43688</v>
      </c>
      <c r="D14" s="10"/>
      <c r="E14" s="10"/>
      <c r="F14" s="10"/>
      <c r="G14" s="10"/>
      <c r="I14" s="20">
        <f t="shared" si="0"/>
        <v>0</v>
      </c>
      <c r="J14">
        <f t="shared" si="2"/>
        <v>0</v>
      </c>
      <c r="K14" t="str">
        <f t="shared" si="1"/>
        <v>休息</v>
      </c>
    </row>
    <row r="15" spans="1:11">
      <c r="A15">
        <v>0</v>
      </c>
      <c r="B15" t="s">
        <v>5</v>
      </c>
      <c r="C15" s="9">
        <v>43689</v>
      </c>
      <c r="D15" s="10"/>
      <c r="E15" s="10"/>
      <c r="F15" s="10"/>
      <c r="G15" s="10"/>
      <c r="I15" s="20">
        <f t="shared" si="0"/>
        <v>0</v>
      </c>
      <c r="J15">
        <f t="shared" si="2"/>
        <v>0</v>
      </c>
      <c r="K15" t="str">
        <f t="shared" si="1"/>
        <v>休息</v>
      </c>
    </row>
    <row r="16" spans="1:11">
      <c r="A16">
        <v>0</v>
      </c>
      <c r="B16" t="s">
        <v>5</v>
      </c>
      <c r="C16" s="9">
        <v>43690</v>
      </c>
      <c r="D16" s="10"/>
      <c r="E16" s="10"/>
      <c r="F16" s="10"/>
      <c r="G16" s="10"/>
      <c r="I16" s="20">
        <f t="shared" si="0"/>
        <v>0</v>
      </c>
      <c r="J16">
        <f t="shared" si="2"/>
        <v>0</v>
      </c>
      <c r="K16" t="str">
        <f t="shared" si="1"/>
        <v>休息</v>
      </c>
    </row>
    <row r="17" spans="1:11">
      <c r="A17">
        <v>0</v>
      </c>
      <c r="B17" t="s">
        <v>5</v>
      </c>
      <c r="C17" s="9">
        <v>43691</v>
      </c>
      <c r="D17" s="10"/>
      <c r="E17" s="10"/>
      <c r="F17" s="10"/>
      <c r="G17" s="10"/>
      <c r="I17" s="20">
        <f t="shared" si="0"/>
        <v>0</v>
      </c>
      <c r="J17">
        <f t="shared" si="2"/>
        <v>0</v>
      </c>
      <c r="K17" t="str">
        <f t="shared" si="1"/>
        <v>休息</v>
      </c>
    </row>
    <row r="18" spans="1:11">
      <c r="A18">
        <v>0</v>
      </c>
      <c r="B18" t="s">
        <v>5</v>
      </c>
      <c r="C18" s="9">
        <v>43692</v>
      </c>
      <c r="D18" s="10"/>
      <c r="E18" s="10"/>
      <c r="F18" s="10"/>
      <c r="G18" s="10"/>
      <c r="I18" s="20">
        <f t="shared" si="0"/>
        <v>0</v>
      </c>
      <c r="J18">
        <f t="shared" si="2"/>
        <v>0</v>
      </c>
      <c r="K18" t="str">
        <f t="shared" si="1"/>
        <v>休息</v>
      </c>
    </row>
    <row r="19" spans="1:11">
      <c r="A19">
        <v>0</v>
      </c>
      <c r="B19" t="s">
        <v>5</v>
      </c>
      <c r="C19" s="9">
        <v>43693</v>
      </c>
      <c r="D19" s="10"/>
      <c r="E19" s="10"/>
      <c r="F19" s="10"/>
      <c r="G19" s="10"/>
      <c r="I19" s="20">
        <f t="shared" si="0"/>
        <v>0</v>
      </c>
      <c r="J19">
        <f t="shared" si="2"/>
        <v>0</v>
      </c>
      <c r="K19" t="str">
        <f t="shared" si="1"/>
        <v>休息</v>
      </c>
    </row>
    <row r="20" spans="1:11">
      <c r="A20">
        <v>0</v>
      </c>
      <c r="B20" t="s">
        <v>5</v>
      </c>
      <c r="C20" s="9">
        <v>43694</v>
      </c>
      <c r="D20" s="10"/>
      <c r="E20" s="10"/>
      <c r="F20" s="10"/>
      <c r="G20" s="10"/>
      <c r="I20" s="20">
        <f t="shared" si="0"/>
        <v>0</v>
      </c>
      <c r="J20">
        <f t="shared" si="2"/>
        <v>0</v>
      </c>
      <c r="K20" t="str">
        <f t="shared" si="1"/>
        <v>休息</v>
      </c>
    </row>
    <row r="21" spans="1:11">
      <c r="A21">
        <v>0</v>
      </c>
      <c r="B21" t="s">
        <v>5</v>
      </c>
      <c r="C21" s="9">
        <v>43695</v>
      </c>
      <c r="D21" s="10"/>
      <c r="E21" s="10"/>
      <c r="F21" s="10"/>
      <c r="G21" s="10"/>
      <c r="I21" s="20">
        <f t="shared" si="0"/>
        <v>0</v>
      </c>
      <c r="J21">
        <f t="shared" si="2"/>
        <v>0</v>
      </c>
      <c r="K21" t="str">
        <f t="shared" si="1"/>
        <v>休息</v>
      </c>
    </row>
    <row r="22" spans="1:11">
      <c r="A22">
        <v>0</v>
      </c>
      <c r="B22" t="s">
        <v>5</v>
      </c>
      <c r="C22" s="9">
        <v>43696</v>
      </c>
      <c r="D22" s="10"/>
      <c r="E22" s="10"/>
      <c r="F22" s="10"/>
      <c r="G22" s="10"/>
      <c r="I22" s="20">
        <f t="shared" si="0"/>
        <v>0</v>
      </c>
      <c r="J22">
        <f t="shared" si="2"/>
        <v>0</v>
      </c>
      <c r="K22" t="str">
        <f t="shared" si="1"/>
        <v>休息</v>
      </c>
    </row>
    <row r="23" spans="1:11">
      <c r="A23">
        <v>0</v>
      </c>
      <c r="B23" t="s">
        <v>5</v>
      </c>
      <c r="C23" s="9">
        <v>43697</v>
      </c>
      <c r="D23" s="10"/>
      <c r="E23" s="10"/>
      <c r="F23" s="10"/>
      <c r="G23" s="10"/>
      <c r="I23" s="20">
        <f t="shared" si="0"/>
        <v>0</v>
      </c>
      <c r="J23">
        <f t="shared" si="2"/>
        <v>0</v>
      </c>
      <c r="K23" t="str">
        <f t="shared" si="1"/>
        <v>休息</v>
      </c>
    </row>
    <row r="24" spans="1:11">
      <c r="A24">
        <v>0</v>
      </c>
      <c r="B24" t="s">
        <v>5</v>
      </c>
      <c r="C24" s="9">
        <v>43698</v>
      </c>
      <c r="D24" s="10"/>
      <c r="E24" s="10"/>
      <c r="F24" s="10"/>
      <c r="G24" s="10"/>
      <c r="I24" s="20">
        <f t="shared" si="0"/>
        <v>0</v>
      </c>
      <c r="J24">
        <f t="shared" si="2"/>
        <v>0</v>
      </c>
      <c r="K24" t="str">
        <f t="shared" si="1"/>
        <v>休息</v>
      </c>
    </row>
    <row r="25" spans="1:11">
      <c r="A25">
        <v>0</v>
      </c>
      <c r="B25" t="s">
        <v>5</v>
      </c>
      <c r="C25" s="9">
        <v>43699</v>
      </c>
      <c r="D25" s="10"/>
      <c r="E25" s="10"/>
      <c r="F25" s="10"/>
      <c r="G25" s="10"/>
      <c r="I25" s="20">
        <f t="shared" si="0"/>
        <v>0</v>
      </c>
      <c r="J25">
        <f t="shared" si="2"/>
        <v>0</v>
      </c>
      <c r="K25" t="str">
        <f t="shared" si="1"/>
        <v>休息</v>
      </c>
    </row>
    <row r="26" spans="1:11">
      <c r="A26">
        <v>0</v>
      </c>
      <c r="B26" t="s">
        <v>5</v>
      </c>
      <c r="C26" s="9">
        <v>43700</v>
      </c>
      <c r="D26" s="10"/>
      <c r="E26" s="10"/>
      <c r="F26" s="10"/>
      <c r="G26" s="10"/>
      <c r="I26" s="20">
        <f t="shared" si="0"/>
        <v>0</v>
      </c>
      <c r="J26">
        <f t="shared" si="2"/>
        <v>0</v>
      </c>
      <c r="K26" t="str">
        <f t="shared" si="1"/>
        <v>休息</v>
      </c>
    </row>
    <row r="27" spans="1:11">
      <c r="A27">
        <v>0</v>
      </c>
      <c r="B27" t="s">
        <v>5</v>
      </c>
      <c r="C27" s="9">
        <v>43701</v>
      </c>
      <c r="D27" s="10"/>
      <c r="E27" s="10"/>
      <c r="F27" s="10"/>
      <c r="G27" s="10"/>
      <c r="I27" s="20">
        <f t="shared" si="0"/>
        <v>0</v>
      </c>
      <c r="J27">
        <f t="shared" si="2"/>
        <v>0</v>
      </c>
      <c r="K27" t="str">
        <f t="shared" si="1"/>
        <v>休息</v>
      </c>
    </row>
    <row r="28" spans="1:11">
      <c r="A28">
        <v>0</v>
      </c>
      <c r="B28" t="s">
        <v>5</v>
      </c>
      <c r="C28" s="9">
        <v>43702</v>
      </c>
      <c r="D28" s="10"/>
      <c r="E28" s="10"/>
      <c r="F28" s="10"/>
      <c r="G28" s="10"/>
      <c r="I28" s="20">
        <f t="shared" si="0"/>
        <v>0</v>
      </c>
      <c r="J28">
        <f t="shared" si="2"/>
        <v>0</v>
      </c>
      <c r="K28" t="str">
        <f t="shared" si="1"/>
        <v>休息</v>
      </c>
    </row>
    <row r="29" spans="1:11">
      <c r="A29">
        <v>0</v>
      </c>
      <c r="B29" t="s">
        <v>5</v>
      </c>
      <c r="C29" s="9">
        <v>43703</v>
      </c>
      <c r="D29" s="10"/>
      <c r="E29" s="10"/>
      <c r="F29" s="2"/>
      <c r="G29" s="2"/>
      <c r="I29" s="20">
        <f t="shared" si="0"/>
        <v>0</v>
      </c>
      <c r="J29">
        <f t="shared" si="2"/>
        <v>0</v>
      </c>
      <c r="K29" t="str">
        <f t="shared" si="1"/>
        <v>休息</v>
      </c>
    </row>
    <row r="30" spans="1:11">
      <c r="A30">
        <v>0</v>
      </c>
      <c r="B30" t="s">
        <v>5</v>
      </c>
      <c r="C30" s="9">
        <v>43704</v>
      </c>
      <c r="D30" s="10"/>
      <c r="E30" s="10"/>
      <c r="F30" s="2"/>
      <c r="G30" s="2"/>
      <c r="I30" s="20">
        <f t="shared" si="0"/>
        <v>0</v>
      </c>
      <c r="J30">
        <f t="shared" si="2"/>
        <v>0</v>
      </c>
      <c r="K30" t="str">
        <f t="shared" si="1"/>
        <v>休息</v>
      </c>
    </row>
    <row r="31" spans="1:11">
      <c r="A31">
        <v>0</v>
      </c>
      <c r="B31" t="s">
        <v>5</v>
      </c>
      <c r="C31" s="9">
        <v>43705</v>
      </c>
      <c r="D31" s="10"/>
      <c r="E31" s="10"/>
      <c r="F31" s="10"/>
      <c r="G31" s="10"/>
      <c r="I31" s="20">
        <f t="shared" si="0"/>
        <v>0</v>
      </c>
      <c r="J31">
        <f t="shared" si="2"/>
        <v>0</v>
      </c>
      <c r="K31" t="str">
        <f t="shared" si="1"/>
        <v>休息</v>
      </c>
    </row>
    <row r="32" spans="1:11">
      <c r="A32">
        <v>0</v>
      </c>
      <c r="B32" t="s">
        <v>5</v>
      </c>
      <c r="C32" s="9">
        <v>43706</v>
      </c>
      <c r="D32" s="2"/>
      <c r="E32" s="2"/>
      <c r="F32" s="10"/>
      <c r="G32" s="10"/>
      <c r="I32" s="20">
        <f t="shared" si="0"/>
        <v>0</v>
      </c>
      <c r="J32">
        <f t="shared" si="2"/>
        <v>0</v>
      </c>
      <c r="K32" t="str">
        <f t="shared" si="1"/>
        <v>休息</v>
      </c>
    </row>
    <row r="33" spans="1:11">
      <c r="A33">
        <v>0</v>
      </c>
      <c r="B33" t="s">
        <v>5</v>
      </c>
      <c r="C33" s="9">
        <v>43707</v>
      </c>
      <c r="D33" s="10"/>
      <c r="E33" s="10"/>
      <c r="F33" s="10"/>
      <c r="G33" s="10"/>
      <c r="I33" s="20">
        <f t="shared" si="0"/>
        <v>0</v>
      </c>
      <c r="J33">
        <f t="shared" si="2"/>
        <v>0</v>
      </c>
      <c r="K33" t="str">
        <f t="shared" si="1"/>
        <v>休息</v>
      </c>
    </row>
    <row r="34" spans="1:11">
      <c r="A34">
        <v>0</v>
      </c>
      <c r="B34" t="s">
        <v>5</v>
      </c>
      <c r="C34" s="9">
        <v>43708</v>
      </c>
      <c r="D34" s="10"/>
      <c r="E34" s="10"/>
      <c r="F34" s="10"/>
      <c r="G34" s="10"/>
      <c r="I34" s="20">
        <f t="shared" si="0"/>
        <v>0</v>
      </c>
      <c r="J34">
        <f t="shared" si="2"/>
        <v>0</v>
      </c>
      <c r="K34" t="str">
        <f t="shared" si="1"/>
        <v>休息</v>
      </c>
    </row>
    <row r="35" spans="1:14">
      <c r="A35" s="11" t="s">
        <v>6</v>
      </c>
      <c r="B35" s="11" t="s">
        <v>7</v>
      </c>
      <c r="C35" s="11" t="s">
        <v>8</v>
      </c>
      <c r="D35" s="11" t="s">
        <v>9</v>
      </c>
      <c r="E35" s="11" t="s">
        <v>10</v>
      </c>
      <c r="F35" s="11" t="s">
        <v>11</v>
      </c>
      <c r="G35" s="11" t="s">
        <v>12</v>
      </c>
      <c r="H35" s="11" t="s">
        <v>13</v>
      </c>
      <c r="I35" s="11" t="s">
        <v>14</v>
      </c>
      <c r="J35" s="11" t="s">
        <v>15</v>
      </c>
      <c r="K35" s="11" t="s">
        <v>16</v>
      </c>
      <c r="L35" s="11" t="s">
        <v>17</v>
      </c>
      <c r="M35" s="11" t="s">
        <v>18</v>
      </c>
      <c r="N35" s="11" t="s">
        <v>19</v>
      </c>
    </row>
    <row r="36" spans="1:14">
      <c r="A36" s="12"/>
      <c r="B36" s="12">
        <f>SUM(J4:J34)</f>
        <v>0</v>
      </c>
      <c r="C36" s="12"/>
      <c r="D36" s="13">
        <f>COUNTIF(K4:K34,"*休息*")+COUNTIF(K4:K34,"*休半日*")*0.5</f>
        <v>31</v>
      </c>
      <c r="E36" s="12">
        <f>A36+C36-D36</f>
        <v>-31</v>
      </c>
      <c r="F36" s="13">
        <f>COUNTIF(K4:K34,"*假*")*1-COUNTIF(K4:K34,"*假半日*")*0.5</f>
        <v>0</v>
      </c>
      <c r="G36" s="12">
        <f>IF(A36+C36&gt;D36,B36+D36,B36+A36+C36)</f>
        <v>0</v>
      </c>
      <c r="H36" s="12"/>
      <c r="I36" s="12">
        <f>COUNTIF(K4:K34,"*漏卡*")</f>
        <v>0</v>
      </c>
      <c r="J36" s="12" t="str">
        <f>IF(AND(G36=DAY(DATE(YEAR(C34),MONTH(C34),)),H36=0,I36=0),"有","无")</f>
        <v>无</v>
      </c>
      <c r="K36" s="12"/>
      <c r="L36" s="12">
        <f>SUM(L4:L34)</f>
        <v>0</v>
      </c>
      <c r="M36" s="12">
        <f>SUM(M4:M34)</f>
        <v>0</v>
      </c>
      <c r="N36" s="12">
        <f>K36+L36-M36</f>
        <v>0</v>
      </c>
    </row>
    <row r="37" spans="1:6">
      <c r="A37" s="14" t="s">
        <v>20</v>
      </c>
      <c r="B37" s="14"/>
      <c r="C37" s="14"/>
      <c r="D37">
        <f>IF(D36&gt;C36,C36,D36)</f>
        <v>0</v>
      </c>
      <c r="E37">
        <f>IF(E36&lt;0,0,E36)</f>
        <v>0</v>
      </c>
      <c r="F37">
        <f>IF(E36&lt;0,F36-E36,F36)</f>
        <v>31</v>
      </c>
    </row>
    <row r="39" ht="16.5" spans="1:8">
      <c r="A39" s="15" t="s">
        <v>21</v>
      </c>
      <c r="B39" s="16" t="s">
        <v>2</v>
      </c>
      <c r="C39" s="16" t="s">
        <v>22</v>
      </c>
      <c r="D39" s="16" t="s">
        <v>23</v>
      </c>
      <c r="E39" s="16" t="s">
        <v>14</v>
      </c>
      <c r="F39" s="16" t="s">
        <v>24</v>
      </c>
      <c r="H39" t="s">
        <v>25</v>
      </c>
    </row>
    <row r="40" spans="1:6">
      <c r="A40" s="15"/>
      <c r="B40" s="17" t="str">
        <f>B34</f>
        <v>xxx</v>
      </c>
      <c r="C40" s="17">
        <f>E36</f>
        <v>-31</v>
      </c>
      <c r="D40" s="17">
        <f>N36</f>
        <v>0</v>
      </c>
      <c r="E40" s="17">
        <f>I36</f>
        <v>0</v>
      </c>
      <c r="F40" s="17" t="str">
        <f ca="1">IF(J36="有","√","")</f>
        <v/>
      </c>
    </row>
    <row r="41" spans="1:17">
      <c r="A41" s="15"/>
      <c r="B41" s="17"/>
      <c r="C41" s="17"/>
      <c r="D41" s="17"/>
      <c r="E41" s="17"/>
      <c r="F41" s="17"/>
      <c r="I41" s="20">
        <f t="shared" ref="I41:I43" si="3">E41-D41+G41-F41</f>
        <v>0</v>
      </c>
      <c r="J41">
        <f>IFERROR(IF(HOUR(I41)*60+MINUTE(I41)+M41*60&gt;=480,1,IF(HOUR(I41)*60+MINUTE(I41)+M41*60&gt;=240,0.5,0)),"")</f>
        <v>0</v>
      </c>
      <c r="K41" t="str">
        <f>IF(AND(NOT(ISBLANK(D41)),ISBLANK(E41),ISBLANK(F41),NOT(ISBLANK(G41))),"直落","")&amp;IF(AND(J41=0,M41&lt;&gt;8,M41&lt;&gt;9),"休息","")&amp;IF(J41=0.5,"休半日","")&amp;IF(L41&gt;0,"加钟","")&amp;IF(M41&gt;0,"补钟","")&amp;IF(OR(MOD(ISBLANK(D41)*1+ISBLANK(E41)*1+ISBLANK(F41)*1+ISBLANK(G41)*1,2)&lt;&gt;0,ISERROR(IF(HOUR(I41)*60+MINUTE(I41)+M41*60&gt;=480,1,IF(HOUR(I41)*60+MINUTE(I41)+M41*60&gt;=240,0.5,0)))),"漏卡","")</f>
        <v>休息</v>
      </c>
      <c r="O41" s="14" t="s">
        <v>26</v>
      </c>
      <c r="P41" s="14"/>
      <c r="Q41" s="14"/>
    </row>
    <row r="42" spans="1:17">
      <c r="A42" s="15"/>
      <c r="B42" s="17"/>
      <c r="C42" s="17"/>
      <c r="D42" s="17"/>
      <c r="E42" s="17"/>
      <c r="F42" s="17"/>
      <c r="I42" s="20">
        <f t="shared" si="3"/>
        <v>0</v>
      </c>
      <c r="J42">
        <f>IFERROR(IF(HOUR(I42)*60+MINUTE(I42)+M42*60&gt;=510,1,IF(HOUR(I42)*60+MINUTE(I42)+M42*60&gt;=255,0.5,0)),"")</f>
        <v>0</v>
      </c>
      <c r="K42" t="str">
        <f>IF(AND(NOT(ISBLANK(D42)),ISBLANK(E42),ISBLANK(F42),NOT(ISBLANK(G42))),"直落","")&amp;IF(AND(J42=0,M42&lt;&gt;8.5,M42&lt;&gt;9),"休息","")&amp;IF(J42=0.5,"休半日","")&amp;IF(L42&gt;0,"加钟","")&amp;IF(M42&gt;0,"补钟","")&amp;IF(OR(MOD(ISBLANK(D42)*1+ISBLANK(E42)*1+ISBLANK(F42)*1+ISBLANK(G42)*1,2)&lt;&gt;0,ISERROR(IF(HOUR(I42)*60+MINUTE(I42)+M42*60&gt;=510,1,IF(HOUR(I42)*60+MINUTE(I42)+M42*60&gt;=255,0.5,0)))),"漏卡","")</f>
        <v>休息</v>
      </c>
      <c r="O42" s="14" t="s">
        <v>27</v>
      </c>
      <c r="P42" s="14"/>
      <c r="Q42" s="14"/>
    </row>
    <row r="43" spans="1:17">
      <c r="A43" s="15"/>
      <c r="B43" s="17"/>
      <c r="C43" s="17"/>
      <c r="D43" s="17"/>
      <c r="E43" s="17"/>
      <c r="F43" s="17"/>
      <c r="I43" s="20">
        <f t="shared" si="3"/>
        <v>0</v>
      </c>
      <c r="J43">
        <f>IFERROR(IF(HOUR(I43)*60+MINUTE(I43)+M43*60&gt;=570,1,IF(HOUR(I43)*60+MINUTE(I43)+M43*60&gt;=285,0.5,0)),"")</f>
        <v>0</v>
      </c>
      <c r="K43" t="str">
        <f>IF(AND(NOT(ISBLANK(D43)),ISBLANK(E43),ISBLANK(F43),NOT(ISBLANK(G43))),"直落","")&amp;IF(AND(J43=0,M43&lt;&gt;9.5,M43&lt;&gt;9),"休息","")&amp;IF(J43=0.5,"休半日","")&amp;IF(L43&gt;0,"加钟","")&amp;IF(M43&gt;0,"补钟","")&amp;IF(OR(MOD(ISBLANK(D43)*1+ISBLANK(E43)*1+ISBLANK(F43)*1+ISBLANK(G43)*1,2)&lt;&gt;0,ISERROR(IF(HOUR(I43)*60+MINUTE(I43)+M43*60&gt;=570,1,IF(HOUR(I43)*60+MINUTE(I43)+M43*60&gt;=285,0.5,0)))),"漏卡","")</f>
        <v>休息</v>
      </c>
      <c r="O43" s="14" t="s">
        <v>28</v>
      </c>
      <c r="P43" s="14"/>
      <c r="Q43" s="14"/>
    </row>
    <row r="44" spans="1:6">
      <c r="A44" s="15"/>
      <c r="C44" s="17"/>
      <c r="D44" s="17"/>
      <c r="E44" s="17"/>
      <c r="F44" s="17"/>
    </row>
    <row r="45" spans="1:6">
      <c r="A45" s="15"/>
      <c r="B45" s="17"/>
      <c r="C45" s="17"/>
      <c r="D45" s="17"/>
      <c r="E45" s="17"/>
      <c r="F45" s="17"/>
    </row>
    <row r="46" spans="1:6">
      <c r="A46" s="15"/>
      <c r="B46" s="17"/>
      <c r="C46" s="17"/>
      <c r="D46" s="17"/>
      <c r="E46" s="17"/>
      <c r="F46" s="17"/>
    </row>
    <row r="49" spans="1:10">
      <c r="A49" s="4" t="s">
        <v>29</v>
      </c>
      <c r="B49" s="5"/>
      <c r="C49" s="5"/>
      <c r="D49" s="5"/>
      <c r="E49" s="5"/>
      <c r="F49" s="5"/>
      <c r="G49" s="5"/>
      <c r="H49" s="5"/>
      <c r="I49" s="5"/>
      <c r="J49" s="18"/>
    </row>
    <row r="50" spans="1:10">
      <c r="A50" s="6"/>
      <c r="B50" s="7"/>
      <c r="C50" s="7"/>
      <c r="D50" s="7"/>
      <c r="E50" s="7"/>
      <c r="F50" s="7"/>
      <c r="G50" s="7"/>
      <c r="H50" s="7"/>
      <c r="I50" s="7"/>
      <c r="J50" s="19"/>
    </row>
    <row r="51" spans="1:11">
      <c r="A51">
        <v>0</v>
      </c>
      <c r="B51" t="s">
        <v>5</v>
      </c>
      <c r="C51" s="9">
        <v>43678</v>
      </c>
      <c r="D51" s="10">
        <f ca="1">0.3125+MOD(RAND(),0.00695)*IF(RAND()&gt;0.8,1,-1)</f>
        <v>0.312197260878763</v>
      </c>
      <c r="E51" s="10">
        <f ca="1">0.60417+MOD(RAND(),0.00695)*IF(RAND()&gt;0.8,-1,1)</f>
        <v>0.604606452453423</v>
      </c>
      <c r="F51" s="10">
        <f ca="1">0.8125+MOD(RAND(),0.00695)*IF(RAND()&gt;0.8,1,-1)</f>
        <v>0.813145358047594</v>
      </c>
      <c r="G51" s="10">
        <f ca="1">0.91667+MOD(RAND(),0.00695)*IF(RAND()&gt;0.8,-1,1)</f>
        <v>0.9208749363787</v>
      </c>
      <c r="I51" s="20">
        <f ca="1">E51-D51+G51-F51</f>
        <v>0.400138769905767</v>
      </c>
      <c r="J51">
        <f ca="1">IFERROR(IF(HOUR(I51)*60+MINUTE(I51)+M51*60&gt;=540,1,IF(HOUR(I51)*60+MINUTE(I51)+M51*60&gt;=270,0.5,0)),"")</f>
        <v>1</v>
      </c>
      <c r="K51" t="str">
        <f ca="1">IF(AND(NOT(ISBLANK(D51)),ISBLANK(E51),ISBLANK(F51),NOT(ISBLANK(G51))),"直落","")&amp;IF(AND(J51=0,M51&lt;&gt;9),"休息","")&amp;IF(J51=0.5,"休半日","")&amp;IF(L51&gt;0,"加钟","")&amp;IF(M51&gt;0,"补钟","")&amp;IF(OR(MOD(ISBLANK(D51)*1+ISBLANK(E51)*1+ISBLANK(F51)*1+ISBLANK(G51)*1,2)&lt;&gt;0,ISERROR(IF(HOUR(I51)*60+MINUTE(I51)+M51*60&gt;=540,1,IF(HOUR(I51)*60+MINUTE(I51)+M51*60&gt;=270,0.5,0)))),"漏卡","")</f>
        <v/>
      </c>
    </row>
    <row r="52" spans="1:11">
      <c r="A52">
        <v>0</v>
      </c>
      <c r="B52" t="s">
        <v>5</v>
      </c>
      <c r="C52" s="9">
        <v>43679</v>
      </c>
      <c r="D52" s="10">
        <f ca="1" t="shared" ref="D52:D61" si="4">0.3125+MOD(RAND(),0.00695)*IF(RAND()&gt;0.8,1,-1)</f>
        <v>0.309352067826022</v>
      </c>
      <c r="E52" s="10">
        <f ca="1" t="shared" ref="E52:E67" si="5">0.60417+MOD(RAND(),0.00695)*IF(RAND()&gt;0.8,-1,1)</f>
        <v>0.602766796669388</v>
      </c>
      <c r="F52" s="10">
        <f ca="1" t="shared" ref="F52:F67" si="6">0.8125+MOD(RAND(),0.00695)*IF(RAND()&gt;0.8,1,-1)</f>
        <v>0.808911570169088</v>
      </c>
      <c r="G52" s="10">
        <f ca="1" t="shared" ref="G52:G61" si="7">0.91667+MOD(RAND(),0.00695)*IF(RAND()&gt;0.8,-1,1)</f>
        <v>0.919590232771958</v>
      </c>
      <c r="I52" s="20">
        <f ca="1" t="shared" ref="I52:I81" si="8">E52-D52+G52-F52</f>
        <v>0.404093391446235</v>
      </c>
      <c r="J52">
        <f ca="1" t="shared" ref="J52:J81" si="9">IFERROR(IF(HOUR(I52)*60+MINUTE(I52)+M52*60&gt;=540,1,IF(HOUR(I52)*60+MINUTE(I52)+M52*60&gt;=270,0.5,0)),"")</f>
        <v>1</v>
      </c>
      <c r="K52" t="str">
        <f ca="1" t="shared" ref="K52:K81" si="10">IF(AND(NOT(ISBLANK(D52)),ISBLANK(E52),ISBLANK(F52),NOT(ISBLANK(G52))),"直落","")&amp;IF(AND(J52=0,M52&lt;&gt;9),"休息","")&amp;IF(J52=0.5,"休半日","")&amp;IF(L52&gt;0,"加钟","")&amp;IF(M52&gt;0,"补钟","")&amp;IF(OR(MOD(ISBLANK(D52)*1+ISBLANK(E52)*1+ISBLANK(F52)*1+ISBLANK(G52)*1,2)&lt;&gt;0,ISERROR(IF(HOUR(I52)*60+MINUTE(I52)+M52*60&gt;=540,1,IF(HOUR(I52)*60+MINUTE(I52)+M52*60&gt;=270,0.5,0)))),"漏卡","")</f>
        <v/>
      </c>
    </row>
    <row r="53" spans="1:11">
      <c r="A53">
        <v>0</v>
      </c>
      <c r="B53" t="s">
        <v>5</v>
      </c>
      <c r="C53" s="9">
        <v>43680</v>
      </c>
      <c r="D53" s="10">
        <f ca="1" t="shared" si="4"/>
        <v>0.306850190673149</v>
      </c>
      <c r="E53" s="10">
        <f ca="1" t="shared" si="5"/>
        <v>0.604207228771994</v>
      </c>
      <c r="F53" s="10">
        <f ca="1" t="shared" si="6"/>
        <v>0.811197183320131</v>
      </c>
      <c r="G53" s="10">
        <f ca="1" t="shared" si="7"/>
        <v>0.91847717419374</v>
      </c>
      <c r="I53" s="20">
        <f ca="1" t="shared" si="8"/>
        <v>0.404637028972454</v>
      </c>
      <c r="J53">
        <f ca="1" t="shared" si="9"/>
        <v>1</v>
      </c>
      <c r="K53" t="str">
        <f ca="1" t="shared" si="10"/>
        <v/>
      </c>
    </row>
    <row r="54" spans="1:11">
      <c r="A54">
        <v>0</v>
      </c>
      <c r="B54" t="s">
        <v>5</v>
      </c>
      <c r="C54" s="9">
        <v>43681</v>
      </c>
      <c r="D54" s="10">
        <f ca="1" t="shared" si="4"/>
        <v>0.308926483439454</v>
      </c>
      <c r="E54" s="10">
        <f ca="1" t="shared" si="5"/>
        <v>0.607284180054034</v>
      </c>
      <c r="F54" s="10">
        <f ca="1" t="shared" si="6"/>
        <v>0.808336588931313</v>
      </c>
      <c r="G54" s="10">
        <f ca="1" t="shared" si="7"/>
        <v>0.922039116357673</v>
      </c>
      <c r="I54" s="20">
        <f ca="1" t="shared" si="8"/>
        <v>0.412060224040941</v>
      </c>
      <c r="J54">
        <f ca="1" t="shared" si="9"/>
        <v>1</v>
      </c>
      <c r="K54" t="str">
        <f ca="1" t="shared" si="10"/>
        <v/>
      </c>
    </row>
    <row r="55" spans="1:11">
      <c r="A55">
        <v>0</v>
      </c>
      <c r="B55" t="s">
        <v>5</v>
      </c>
      <c r="C55" s="9">
        <v>43682</v>
      </c>
      <c r="D55" s="10">
        <f ca="1" t="shared" si="4"/>
        <v>0.308691660124411</v>
      </c>
      <c r="E55" s="10">
        <f ca="1" t="shared" si="5"/>
        <v>0.604329563791656</v>
      </c>
      <c r="F55" s="10">
        <f ca="1" t="shared" si="6"/>
        <v>0.808223520629714</v>
      </c>
      <c r="G55" s="10">
        <f ca="1" t="shared" si="7"/>
        <v>0.91876077251026</v>
      </c>
      <c r="I55" s="20">
        <f ca="1" t="shared" si="8"/>
        <v>0.406175155547793</v>
      </c>
      <c r="J55">
        <f ca="1" t="shared" si="9"/>
        <v>1</v>
      </c>
      <c r="K55" t="str">
        <f ca="1" t="shared" si="10"/>
        <v/>
      </c>
    </row>
    <row r="56" spans="1:11">
      <c r="A56">
        <v>0</v>
      </c>
      <c r="B56" t="s">
        <v>5</v>
      </c>
      <c r="C56" s="9">
        <v>43683</v>
      </c>
      <c r="D56" s="10">
        <f ca="1" t="shared" si="4"/>
        <v>0.307963971269724</v>
      </c>
      <c r="E56" s="10">
        <f ca="1" t="shared" si="5"/>
        <v>0.611002496787465</v>
      </c>
      <c r="F56" s="10">
        <f ca="1" t="shared" si="6"/>
        <v>0.808671601308121</v>
      </c>
      <c r="G56" s="10">
        <f ca="1" t="shared" si="7"/>
        <v>0.911760232222317</v>
      </c>
      <c r="I56" s="20">
        <f ca="1" t="shared" si="8"/>
        <v>0.406127156431937</v>
      </c>
      <c r="J56">
        <f ca="1" t="shared" si="9"/>
        <v>1</v>
      </c>
      <c r="K56" t="str">
        <f ca="1" t="shared" si="10"/>
        <v/>
      </c>
    </row>
    <row r="57" spans="1:11">
      <c r="A57">
        <v>0</v>
      </c>
      <c r="B57" t="s">
        <v>5</v>
      </c>
      <c r="C57" s="9">
        <v>43684</v>
      </c>
      <c r="D57" s="10">
        <f ca="1" t="shared" si="4"/>
        <v>0.313356526864397</v>
      </c>
      <c r="E57" s="10">
        <f ca="1" t="shared" si="5"/>
        <v>0.610020665959559</v>
      </c>
      <c r="F57" s="10">
        <f ca="1" t="shared" si="6"/>
        <v>0.80719355267101</v>
      </c>
      <c r="G57" s="10">
        <f ca="1" t="shared" si="7"/>
        <v>0.919700946992055</v>
      </c>
      <c r="I57" s="20">
        <f ca="1" t="shared" si="8"/>
        <v>0.409171533416207</v>
      </c>
      <c r="J57">
        <f ca="1" t="shared" si="9"/>
        <v>1</v>
      </c>
      <c r="K57" t="str">
        <f ca="1" t="shared" si="10"/>
        <v/>
      </c>
    </row>
    <row r="58" spans="1:11">
      <c r="A58">
        <v>0</v>
      </c>
      <c r="B58" t="s">
        <v>5</v>
      </c>
      <c r="C58" s="9">
        <v>43685</v>
      </c>
      <c r="D58" s="10">
        <f ca="1" t="shared" si="4"/>
        <v>0.310677742577466</v>
      </c>
      <c r="E58" s="10">
        <f ca="1" t="shared" si="5"/>
        <v>0.607816135556745</v>
      </c>
      <c r="F58" s="10">
        <f ca="1" t="shared" si="6"/>
        <v>0.812128000703024</v>
      </c>
      <c r="G58" s="10">
        <f ca="1" t="shared" si="7"/>
        <v>0.917559131312575</v>
      </c>
      <c r="I58" s="20">
        <f ca="1" t="shared" si="8"/>
        <v>0.40256952358883</v>
      </c>
      <c r="J58">
        <f ca="1" t="shared" si="9"/>
        <v>1</v>
      </c>
      <c r="K58" t="str">
        <f ca="1" t="shared" si="10"/>
        <v/>
      </c>
    </row>
    <row r="59" spans="1:11">
      <c r="A59">
        <v>0</v>
      </c>
      <c r="B59" t="s">
        <v>5</v>
      </c>
      <c r="C59" s="9">
        <v>43686</v>
      </c>
      <c r="D59" s="10">
        <f ca="1" t="shared" si="4"/>
        <v>0.308411096520411</v>
      </c>
      <c r="E59" s="10">
        <f ca="1" t="shared" si="5"/>
        <v>0.599996193150085</v>
      </c>
      <c r="F59" s="10">
        <f ca="1" t="shared" si="6"/>
        <v>0.810508921437401</v>
      </c>
      <c r="G59" s="10">
        <f ca="1" t="shared" si="7"/>
        <v>0.911440634755697</v>
      </c>
      <c r="I59" s="20">
        <f ca="1" t="shared" si="8"/>
        <v>0.39251680994797</v>
      </c>
      <c r="J59">
        <f ca="1" t="shared" si="9"/>
        <v>1</v>
      </c>
      <c r="K59" t="str">
        <f ca="1" t="shared" si="10"/>
        <v/>
      </c>
    </row>
    <row r="60" spans="1:11">
      <c r="A60">
        <v>0</v>
      </c>
      <c r="B60" t="s">
        <v>5</v>
      </c>
      <c r="C60" s="9">
        <v>43687</v>
      </c>
      <c r="D60" s="10">
        <f ca="1" t="shared" si="4"/>
        <v>0.308448976972967</v>
      </c>
      <c r="E60" s="10">
        <f ca="1" t="shared" si="5"/>
        <v>0.597945496933837</v>
      </c>
      <c r="F60" s="10">
        <f ca="1" t="shared" si="6"/>
        <v>0.818658106508977</v>
      </c>
      <c r="G60" s="10">
        <f ca="1" t="shared" si="7"/>
        <v>0.920858393732378</v>
      </c>
      <c r="I60" s="20">
        <f ca="1" t="shared" si="8"/>
        <v>0.391696807184271</v>
      </c>
      <c r="J60">
        <f ca="1" t="shared" si="9"/>
        <v>1</v>
      </c>
      <c r="K60" t="str">
        <f ca="1" t="shared" si="10"/>
        <v/>
      </c>
    </row>
    <row r="61" spans="1:11">
      <c r="A61">
        <v>0</v>
      </c>
      <c r="B61" t="s">
        <v>5</v>
      </c>
      <c r="C61" s="9">
        <v>43688</v>
      </c>
      <c r="D61" s="10">
        <f ca="1" t="shared" si="4"/>
        <v>0.308955919093437</v>
      </c>
      <c r="E61" s="10">
        <f ca="1" t="shared" si="5"/>
        <v>0.608542653460564</v>
      </c>
      <c r="F61" s="10">
        <f ca="1" t="shared" si="6"/>
        <v>0.808864216560536</v>
      </c>
      <c r="G61" s="10">
        <f ca="1" t="shared" si="7"/>
        <v>0.9207286174056</v>
      </c>
      <c r="I61" s="20">
        <f ca="1" t="shared" si="8"/>
        <v>0.411451135212191</v>
      </c>
      <c r="J61">
        <f ca="1" t="shared" si="9"/>
        <v>1</v>
      </c>
      <c r="K61" t="str">
        <f ca="1" t="shared" si="10"/>
        <v/>
      </c>
    </row>
    <row r="62" spans="1:11">
      <c r="A62">
        <v>0</v>
      </c>
      <c r="B62" t="s">
        <v>5</v>
      </c>
      <c r="C62" s="9">
        <v>43689</v>
      </c>
      <c r="D62" s="10">
        <f ca="1" t="shared" ref="D62:D74" si="11">0.3125+MOD(RAND(),0.00695)*IF(RAND()&gt;0.8,1,-1)</f>
        <v>0.308569883144773</v>
      </c>
      <c r="E62" s="10">
        <f ca="1" t="shared" si="5"/>
        <v>0.599799933281333</v>
      </c>
      <c r="F62" s="10">
        <f ca="1" t="shared" si="6"/>
        <v>0.811815110772287</v>
      </c>
      <c r="G62" s="10">
        <f ca="1" t="shared" ref="G62:G74" si="12">0.91667+MOD(RAND(),0.00695)*IF(RAND()&gt;0.8,-1,1)</f>
        <v>0.922916301551896</v>
      </c>
      <c r="I62" s="20">
        <f ca="1" t="shared" si="8"/>
        <v>0.402331240916169</v>
      </c>
      <c r="J62">
        <f ca="1" t="shared" si="9"/>
        <v>1</v>
      </c>
      <c r="K62" t="str">
        <f ca="1" t="shared" si="10"/>
        <v/>
      </c>
    </row>
    <row r="63" spans="1:11">
      <c r="A63">
        <v>0</v>
      </c>
      <c r="B63" t="s">
        <v>5</v>
      </c>
      <c r="C63" s="9">
        <v>43690</v>
      </c>
      <c r="D63" s="10">
        <f ca="1" t="shared" si="11"/>
        <v>0.311733195134461</v>
      </c>
      <c r="E63" s="10">
        <f ca="1" t="shared" si="5"/>
        <v>0.601502036645907</v>
      </c>
      <c r="F63" s="10">
        <f ca="1" t="shared" si="6"/>
        <v>0.807067487542773</v>
      </c>
      <c r="G63" s="10">
        <f ca="1" t="shared" si="12"/>
        <v>0.916825047183061</v>
      </c>
      <c r="I63" s="20">
        <f ca="1" t="shared" si="8"/>
        <v>0.399526401151735</v>
      </c>
      <c r="J63">
        <f ca="1" t="shared" si="9"/>
        <v>1</v>
      </c>
      <c r="K63" t="str">
        <f ca="1" t="shared" si="10"/>
        <v/>
      </c>
    </row>
    <row r="64" spans="1:11">
      <c r="A64">
        <v>0</v>
      </c>
      <c r="B64" t="s">
        <v>5</v>
      </c>
      <c r="C64" s="9">
        <v>43691</v>
      </c>
      <c r="D64" s="10">
        <f ca="1" t="shared" si="11"/>
        <v>0.311603338489811</v>
      </c>
      <c r="E64" s="10">
        <f ca="1" t="shared" si="5"/>
        <v>0.599490479887005</v>
      </c>
      <c r="F64" s="10">
        <f ca="1" t="shared" si="6"/>
        <v>0.812294849406495</v>
      </c>
      <c r="G64" s="10">
        <f ca="1" t="shared" si="12"/>
        <v>0.915178886455984</v>
      </c>
      <c r="I64" s="20">
        <f ca="1" t="shared" si="8"/>
        <v>0.390771178446682</v>
      </c>
      <c r="J64">
        <f ca="1" t="shared" si="9"/>
        <v>1</v>
      </c>
      <c r="K64" t="str">
        <f ca="1" t="shared" si="10"/>
        <v/>
      </c>
    </row>
    <row r="65" spans="1:11">
      <c r="A65">
        <v>0</v>
      </c>
      <c r="B65" t="s">
        <v>5</v>
      </c>
      <c r="C65" s="9">
        <v>43692</v>
      </c>
      <c r="D65" s="10">
        <f ca="1" t="shared" si="11"/>
        <v>0.305808130875671</v>
      </c>
      <c r="E65" s="10">
        <f ca="1" t="shared" si="5"/>
        <v>0.607914709501587</v>
      </c>
      <c r="F65" s="10">
        <f ca="1" t="shared" si="6"/>
        <v>0.807822105348866</v>
      </c>
      <c r="G65" s="10">
        <f ca="1" t="shared" si="12"/>
        <v>0.922412922041903</v>
      </c>
      <c r="I65" s="20">
        <f ca="1" t="shared" si="8"/>
        <v>0.416697395318953</v>
      </c>
      <c r="J65">
        <f ca="1" t="shared" si="9"/>
        <v>1</v>
      </c>
      <c r="K65" t="str">
        <f ca="1" t="shared" si="10"/>
        <v/>
      </c>
    </row>
    <row r="66" spans="1:11">
      <c r="A66">
        <v>0</v>
      </c>
      <c r="B66" t="s">
        <v>5</v>
      </c>
      <c r="C66" s="9">
        <v>43693</v>
      </c>
      <c r="D66" s="10">
        <f ca="1" t="shared" si="11"/>
        <v>0.31141895001499</v>
      </c>
      <c r="E66" s="10">
        <f ca="1" t="shared" si="5"/>
        <v>0.608132685368782</v>
      </c>
      <c r="F66" s="10">
        <f ca="1" t="shared" si="6"/>
        <v>0.81896583964579</v>
      </c>
      <c r="G66" s="10">
        <f ca="1" t="shared" si="12"/>
        <v>0.910368284263447</v>
      </c>
      <c r="I66" s="20">
        <f ca="1" t="shared" si="8"/>
        <v>0.388116179971449</v>
      </c>
      <c r="J66">
        <f ca="1" t="shared" si="9"/>
        <v>1</v>
      </c>
      <c r="K66" t="str">
        <f ca="1" t="shared" si="10"/>
        <v/>
      </c>
    </row>
    <row r="67" spans="1:11">
      <c r="A67">
        <v>0</v>
      </c>
      <c r="B67" t="s">
        <v>5</v>
      </c>
      <c r="C67" s="9">
        <v>43694</v>
      </c>
      <c r="D67" s="10">
        <f ca="1" t="shared" si="11"/>
        <v>0.306581572962649</v>
      </c>
      <c r="E67" s="10">
        <f ca="1" t="shared" si="5"/>
        <v>0.608442152647831</v>
      </c>
      <c r="F67" s="10">
        <f ca="1" t="shared" si="6"/>
        <v>0.805642175774818</v>
      </c>
      <c r="G67" s="10">
        <f ca="1" t="shared" si="12"/>
        <v>0.919328753071443</v>
      </c>
      <c r="I67" s="20">
        <f ca="1" t="shared" si="8"/>
        <v>0.415547156981807</v>
      </c>
      <c r="J67">
        <f ca="1" t="shared" si="9"/>
        <v>1</v>
      </c>
      <c r="K67" t="str">
        <f ca="1" t="shared" si="10"/>
        <v/>
      </c>
    </row>
    <row r="68" spans="1:15">
      <c r="A68">
        <v>0</v>
      </c>
      <c r="B68" t="s">
        <v>5</v>
      </c>
      <c r="C68" s="9">
        <v>43695</v>
      </c>
      <c r="D68" s="10">
        <f ca="1" t="shared" ref="D68:D75" si="13">0.3125+MOD(RAND(),0.00695)*IF(RAND()&gt;0.8,1,-1)</f>
        <v>0.308692276370722</v>
      </c>
      <c r="E68" s="10"/>
      <c r="F68" s="10"/>
      <c r="G68" s="10"/>
      <c r="I68" s="20">
        <f ca="1" t="shared" si="8"/>
        <v>-0.308692276370722</v>
      </c>
      <c r="J68" t="str">
        <f ca="1" t="shared" si="9"/>
        <v/>
      </c>
      <c r="K68" t="str">
        <f ca="1" t="shared" si="10"/>
        <v>漏卡</v>
      </c>
      <c r="O68" t="s">
        <v>30</v>
      </c>
    </row>
    <row r="69" spans="1:15">
      <c r="A69">
        <v>0</v>
      </c>
      <c r="B69" t="s">
        <v>5</v>
      </c>
      <c r="C69" s="9">
        <v>43696</v>
      </c>
      <c r="D69" s="10"/>
      <c r="E69" s="10">
        <f ca="1" t="shared" ref="E68:E74" si="14">0.60417+MOD(RAND(),0.00695)*IF(RAND()&gt;0.8,-1,1)</f>
        <v>0.598486053419389</v>
      </c>
      <c r="F69" s="10"/>
      <c r="G69" s="10"/>
      <c r="I69" s="20">
        <f ca="1" t="shared" si="8"/>
        <v>0.598486053419389</v>
      </c>
      <c r="J69">
        <f ca="1" t="shared" si="9"/>
        <v>1</v>
      </c>
      <c r="K69" t="str">
        <f ca="1" t="shared" si="10"/>
        <v>漏卡</v>
      </c>
      <c r="O69" t="s">
        <v>31</v>
      </c>
    </row>
    <row r="70" spans="1:15">
      <c r="A70">
        <v>0</v>
      </c>
      <c r="B70" t="s">
        <v>5</v>
      </c>
      <c r="C70" s="9">
        <v>43697</v>
      </c>
      <c r="D70" s="10"/>
      <c r="E70" s="10">
        <f ca="1" t="shared" si="14"/>
        <v>0.606845802791907</v>
      </c>
      <c r="F70" s="10">
        <f ca="1" t="shared" ref="F68:F74" si="15">0.8125+MOD(RAND(),0.00695)*IF(RAND()&gt;0.8,1,-1)</f>
        <v>0.806869893268004</v>
      </c>
      <c r="G70" s="10">
        <f ca="1" t="shared" ref="G68:G74" si="16">0.91667+MOD(RAND(),0.00695)*IF(RAND()&gt;0.8,-1,1)</f>
        <v>0.919058853176843</v>
      </c>
      <c r="I70" s="20">
        <f ca="1" t="shared" si="8"/>
        <v>0.719034762700746</v>
      </c>
      <c r="J70">
        <f ca="1" t="shared" si="9"/>
        <v>1</v>
      </c>
      <c r="K70" t="str">
        <f ca="1" t="shared" si="10"/>
        <v>漏卡</v>
      </c>
      <c r="O70" t="s">
        <v>32</v>
      </c>
    </row>
    <row r="71" spans="1:15">
      <c r="A71">
        <v>0</v>
      </c>
      <c r="B71" t="s">
        <v>5</v>
      </c>
      <c r="C71" s="9">
        <v>43698</v>
      </c>
      <c r="D71" s="10">
        <f ca="1" t="shared" si="13"/>
        <v>0.305736808523506</v>
      </c>
      <c r="E71" s="10"/>
      <c r="F71" s="10">
        <f ca="1" t="shared" si="15"/>
        <v>0.812250073656701</v>
      </c>
      <c r="G71" s="10">
        <f ca="1" t="shared" si="16"/>
        <v>0.923171221154699</v>
      </c>
      <c r="I71" s="20">
        <f ca="1" t="shared" si="8"/>
        <v>-0.194815661025507</v>
      </c>
      <c r="J71" t="str">
        <f ca="1" t="shared" si="9"/>
        <v/>
      </c>
      <c r="K71" t="str">
        <f ca="1" t="shared" si="10"/>
        <v>漏卡</v>
      </c>
      <c r="O71" t="s">
        <v>32</v>
      </c>
    </row>
    <row r="72" spans="1:15">
      <c r="A72">
        <v>0</v>
      </c>
      <c r="B72" t="s">
        <v>5</v>
      </c>
      <c r="C72" s="9">
        <v>43699</v>
      </c>
      <c r="D72" s="10">
        <f ca="1" t="shared" si="13"/>
        <v>0.308800549763951</v>
      </c>
      <c r="E72" s="10">
        <f ca="1" t="shared" si="14"/>
        <v>0.609465482769664</v>
      </c>
      <c r="F72" s="10"/>
      <c r="G72" s="10">
        <f ca="1" t="shared" si="16"/>
        <v>0.912099059780075</v>
      </c>
      <c r="I72" s="20">
        <f ca="1" t="shared" si="8"/>
        <v>1.21276399278579</v>
      </c>
      <c r="J72">
        <f ca="1" t="shared" si="9"/>
        <v>0.5</v>
      </c>
      <c r="K72" t="str">
        <f ca="1" t="shared" si="10"/>
        <v>休半日漏卡</v>
      </c>
      <c r="O72" t="s">
        <v>32</v>
      </c>
    </row>
    <row r="73" spans="1:15">
      <c r="A73">
        <v>0</v>
      </c>
      <c r="B73" t="s">
        <v>5</v>
      </c>
      <c r="C73" s="9">
        <v>43700</v>
      </c>
      <c r="D73" s="10">
        <f ca="1" t="shared" si="13"/>
        <v>0.30748048747297</v>
      </c>
      <c r="E73" s="10">
        <f ca="1" t="shared" si="14"/>
        <v>0.605505240819105</v>
      </c>
      <c r="F73" s="10">
        <f ca="1" t="shared" si="15"/>
        <v>0.809793400851882</v>
      </c>
      <c r="G73" s="10"/>
      <c r="I73" s="20">
        <f ca="1" t="shared" si="8"/>
        <v>-0.511768647505747</v>
      </c>
      <c r="J73" t="str">
        <f ca="1" t="shared" si="9"/>
        <v/>
      </c>
      <c r="K73" t="str">
        <f ca="1" t="shared" si="10"/>
        <v>漏卡</v>
      </c>
      <c r="O73" t="s">
        <v>32</v>
      </c>
    </row>
    <row r="74" spans="1:11">
      <c r="A74">
        <v>0</v>
      </c>
      <c r="B74" t="s">
        <v>5</v>
      </c>
      <c r="C74" s="9">
        <v>43701</v>
      </c>
      <c r="D74" s="10">
        <f ca="1" t="shared" si="13"/>
        <v>0.309852046377136</v>
      </c>
      <c r="E74" s="10">
        <f ca="1">0.4+MOD(RAND(),0.00695)*IF(RAND()&gt;0.8,-1,1)</f>
        <v>0.405740635228516</v>
      </c>
      <c r="F74" s="10"/>
      <c r="G74" s="10"/>
      <c r="I74" s="20">
        <f ca="1" t="shared" si="8"/>
        <v>0.0958885888513796</v>
      </c>
      <c r="J74">
        <f ca="1" t="shared" si="9"/>
        <v>0</v>
      </c>
      <c r="K74" t="str">
        <f ca="1" t="shared" si="10"/>
        <v>休息</v>
      </c>
    </row>
    <row r="75" spans="1:12">
      <c r="A75">
        <v>0</v>
      </c>
      <c r="B75" t="s">
        <v>5</v>
      </c>
      <c r="C75" s="9">
        <v>43702</v>
      </c>
      <c r="D75" s="10">
        <f ca="1" t="shared" si="13"/>
        <v>0.307911986182045</v>
      </c>
      <c r="E75" s="10">
        <f ca="1">0.4+MOD(RAND(),0.00695)*IF(RAND()&gt;0.8,-1,1)</f>
        <v>0.400522474164698</v>
      </c>
      <c r="F75" s="10"/>
      <c r="G75" s="10"/>
      <c r="I75" s="20">
        <f ca="1" t="shared" si="8"/>
        <v>0.0926104879826533</v>
      </c>
      <c r="J75">
        <f ca="1" t="shared" si="9"/>
        <v>0</v>
      </c>
      <c r="K75" t="str">
        <f ca="1" t="shared" si="10"/>
        <v>休息加钟</v>
      </c>
      <c r="L75">
        <v>2</v>
      </c>
    </row>
    <row r="76" spans="1:13">
      <c r="A76">
        <v>0</v>
      </c>
      <c r="B76" t="s">
        <v>5</v>
      </c>
      <c r="C76" s="9">
        <v>43703</v>
      </c>
      <c r="D76" s="10"/>
      <c r="E76" s="10"/>
      <c r="F76" s="2"/>
      <c r="G76" s="2"/>
      <c r="I76" s="20">
        <f ca="1" t="shared" si="8"/>
        <v>0</v>
      </c>
      <c r="J76">
        <f ca="1" t="shared" si="9"/>
        <v>0.5</v>
      </c>
      <c r="K76" t="str">
        <f ca="1" t="shared" si="10"/>
        <v>休半日补钟</v>
      </c>
      <c r="M76">
        <v>4.5</v>
      </c>
    </row>
    <row r="77" spans="1:11">
      <c r="A77">
        <v>0</v>
      </c>
      <c r="B77" t="s">
        <v>5</v>
      </c>
      <c r="C77" s="9">
        <v>43704</v>
      </c>
      <c r="D77" s="10"/>
      <c r="E77" s="10"/>
      <c r="F77" s="2"/>
      <c r="G77" s="2"/>
      <c r="I77" s="20">
        <f ca="1" t="shared" si="8"/>
        <v>0</v>
      </c>
      <c r="J77">
        <f ca="1" t="shared" si="9"/>
        <v>0</v>
      </c>
      <c r="K77" t="str">
        <f ca="1" t="shared" si="10"/>
        <v>休息</v>
      </c>
    </row>
    <row r="78" spans="1:13">
      <c r="A78">
        <v>0</v>
      </c>
      <c r="B78" t="s">
        <v>5</v>
      </c>
      <c r="C78" s="9">
        <v>43705</v>
      </c>
      <c r="D78" s="10"/>
      <c r="E78" s="10"/>
      <c r="F78" s="10">
        <f ca="1">0.8125+MOD(RAND(),0.00695)*IF(RAND()&gt;0.8,1,-1)</f>
        <v>0.815281700519888</v>
      </c>
      <c r="G78" s="10">
        <f ca="1">0.91667+MOD(RAND(),0.00695)*IF(RAND()&gt;0.8,-1,1)</f>
        <v>0.917006383284237</v>
      </c>
      <c r="I78" s="20">
        <f ca="1" t="shared" si="8"/>
        <v>0.101724682764349</v>
      </c>
      <c r="J78">
        <f ca="1" t="shared" si="9"/>
        <v>1</v>
      </c>
      <c r="K78" t="str">
        <f ca="1" t="shared" si="10"/>
        <v>补钟</v>
      </c>
      <c r="M78">
        <v>9</v>
      </c>
    </row>
    <row r="79" spans="1:13">
      <c r="A79">
        <v>0</v>
      </c>
      <c r="B79" t="s">
        <v>5</v>
      </c>
      <c r="C79" s="9">
        <v>43706</v>
      </c>
      <c r="D79" s="2"/>
      <c r="E79" s="2"/>
      <c r="F79" s="10">
        <f ca="1">0.8125+MOD(RAND(),0.00695)*IF(RAND()&gt;0.8,1,-1)</f>
        <v>0.805931621176451</v>
      </c>
      <c r="G79" s="10">
        <f ca="1">0.91667+MOD(RAND(),0.00695)*IF(RAND()&gt;0.8,-1,1)</f>
        <v>0.918184902283958</v>
      </c>
      <c r="I79" s="20">
        <f ca="1" t="shared" si="8"/>
        <v>0.112253281107508</v>
      </c>
      <c r="J79">
        <f ca="1" t="shared" si="9"/>
        <v>0.5</v>
      </c>
      <c r="K79" t="str">
        <f ca="1" t="shared" si="10"/>
        <v>休半日补钟</v>
      </c>
      <c r="M79">
        <v>2.5</v>
      </c>
    </row>
    <row r="80" spans="1:13">
      <c r="A80">
        <v>0</v>
      </c>
      <c r="B80" t="s">
        <v>5</v>
      </c>
      <c r="C80" s="9">
        <v>43707</v>
      </c>
      <c r="D80" s="10">
        <f ca="1">0.3125+MOD(RAND(),0.00695)*IF(RAND()&gt;0.8,1,-1)</f>
        <v>0.312554923530082</v>
      </c>
      <c r="E80" s="10">
        <f ca="1">0.51+MOD(RAND(),0.00695)*IF(RAND()&gt;0.8,-1,1)</f>
        <v>0.515716969390459</v>
      </c>
      <c r="F80" s="10"/>
      <c r="G80" s="10"/>
      <c r="I80" s="20">
        <f ca="1" t="shared" si="8"/>
        <v>0.203162045860378</v>
      </c>
      <c r="J80">
        <f ca="1" t="shared" si="9"/>
        <v>1</v>
      </c>
      <c r="K80" t="str">
        <f ca="1" t="shared" si="10"/>
        <v>补钟</v>
      </c>
      <c r="M80">
        <v>7</v>
      </c>
    </row>
    <row r="81" spans="1:12">
      <c r="A81">
        <v>0</v>
      </c>
      <c r="B81" t="s">
        <v>5</v>
      </c>
      <c r="C81" s="9">
        <v>43708</v>
      </c>
      <c r="D81" s="10">
        <f ca="1">0.3125+MOD(RAND(),0.00695)*IF(RAND()&gt;0.8,1,-1)</f>
        <v>0.307568471965487</v>
      </c>
      <c r="E81" s="10"/>
      <c r="F81" s="10"/>
      <c r="G81" s="10">
        <f ca="1">0.91667+MOD(RAND(),0.00695)*IF(RAND()&gt;0.8,-1,1)</f>
        <v>0.916684502502448</v>
      </c>
      <c r="I81" s="20">
        <f ca="1" t="shared" si="8"/>
        <v>0.609116030536961</v>
      </c>
      <c r="J81">
        <f ca="1" t="shared" si="9"/>
        <v>1</v>
      </c>
      <c r="K81" t="str">
        <f ca="1" t="shared" si="10"/>
        <v>直落加钟</v>
      </c>
      <c r="L81">
        <v>5</v>
      </c>
    </row>
    <row r="82" spans="1:14">
      <c r="A82" s="11" t="s">
        <v>6</v>
      </c>
      <c r="B82" s="11" t="s">
        <v>7</v>
      </c>
      <c r="C82" s="11" t="s">
        <v>8</v>
      </c>
      <c r="D82" s="11" t="s">
        <v>9</v>
      </c>
      <c r="E82" s="11" t="s">
        <v>10</v>
      </c>
      <c r="F82" s="11" t="s">
        <v>11</v>
      </c>
      <c r="G82" s="11" t="s">
        <v>12</v>
      </c>
      <c r="H82" s="11" t="s">
        <v>13</v>
      </c>
      <c r="I82" s="11" t="s">
        <v>14</v>
      </c>
      <c r="J82" s="11" t="s">
        <v>15</v>
      </c>
      <c r="K82" s="11" t="s">
        <v>16</v>
      </c>
      <c r="L82" s="11" t="s">
        <v>17</v>
      </c>
      <c r="M82" s="11" t="s">
        <v>18</v>
      </c>
      <c r="N82" s="11" t="s">
        <v>19</v>
      </c>
    </row>
    <row r="83" spans="1:14">
      <c r="A83" s="12"/>
      <c r="B83" s="12">
        <f ca="1">SUM(J51:J81)</f>
        <v>23.5</v>
      </c>
      <c r="C83" s="12"/>
      <c r="D83" s="13">
        <f ca="1">COUNTIF(K51:K81,"*休息*")+COUNTIF(K51:K81,"*休半日*")*0.5</f>
        <v>4.5</v>
      </c>
      <c r="E83" s="12">
        <f ca="1">A83+C83-D83</f>
        <v>-4.5</v>
      </c>
      <c r="F83" s="13">
        <f ca="1">COUNTIF(K51:K81,"*假*")*1-COUNTIF(K51:K81,"*假半日*")*0.5</f>
        <v>0</v>
      </c>
      <c r="G83" s="12">
        <f ca="1">IF(A83+C83&gt;D83,B83+D83,B83+A83+C83)</f>
        <v>23.5</v>
      </c>
      <c r="H83" s="12"/>
      <c r="I83" s="12">
        <f ca="1">COUNTIF(K51:K81,"*漏卡*")</f>
        <v>6</v>
      </c>
      <c r="J83" s="12" t="str">
        <f ca="1">IF(AND(G83=DAY(DATE(YEAR(C81),MONTH(C81),)),H83=0,I83=0),"有","无")</f>
        <v>无</v>
      </c>
      <c r="K83" s="12"/>
      <c r="L83" s="12">
        <f>SUM(L51:L81)</f>
        <v>7</v>
      </c>
      <c r="M83" s="12">
        <f>SUM(M51:M81)</f>
        <v>23</v>
      </c>
      <c r="N83" s="12">
        <f>K83+L83-M83</f>
        <v>-16</v>
      </c>
    </row>
    <row r="84" spans="1:6">
      <c r="A84" s="14" t="s">
        <v>20</v>
      </c>
      <c r="B84" s="14"/>
      <c r="C84" s="14"/>
      <c r="D84">
        <f ca="1">IF(D83&gt;C83,C83,D83)</f>
        <v>0</v>
      </c>
      <c r="E84">
        <f ca="1">IF(E83&lt;0,0,E83)</f>
        <v>0</v>
      </c>
      <c r="F84">
        <f ca="1">IF(E83&lt;0,F83-E83,F83)</f>
        <v>4.5</v>
      </c>
    </row>
    <row r="86" ht="16.5" spans="1:9">
      <c r="A86" s="15" t="s">
        <v>21</v>
      </c>
      <c r="B86" s="16" t="s">
        <v>2</v>
      </c>
      <c r="C86" s="16" t="s">
        <v>22</v>
      </c>
      <c r="D86" s="16" t="s">
        <v>23</v>
      </c>
      <c r="E86" s="16" t="s">
        <v>14</v>
      </c>
      <c r="F86" s="16" t="s">
        <v>24</v>
      </c>
      <c r="I86" t="s">
        <v>25</v>
      </c>
    </row>
    <row r="87" spans="1:6">
      <c r="A87" s="15"/>
      <c r="B87" s="17" t="str">
        <f>B81</f>
        <v>xxx</v>
      </c>
      <c r="C87" s="17">
        <f ca="1">E83</f>
        <v>-4.5</v>
      </c>
      <c r="D87" s="17">
        <f>N83</f>
        <v>-16</v>
      </c>
      <c r="E87" s="17">
        <f ca="1">I83</f>
        <v>6</v>
      </c>
      <c r="F87" s="17" t="str">
        <f ca="1">IF(J83="有","√","")</f>
        <v/>
      </c>
    </row>
    <row r="88" spans="1:17">
      <c r="A88" s="15"/>
      <c r="B88" s="17"/>
      <c r="C88" s="17"/>
      <c r="D88" s="17"/>
      <c r="E88" s="17"/>
      <c r="F88" s="17"/>
      <c r="I88" s="20">
        <f t="shared" ref="I88:I90" si="17">E88-D88+G88-F88</f>
        <v>0</v>
      </c>
      <c r="J88">
        <f>IFERROR(IF(HOUR(I88)*60+MINUTE(I88)+M88*60&gt;=480,1,IF(HOUR(I88)*60+MINUTE(I88)+M88*60&gt;=240,0.5,0)),"")</f>
        <v>0</v>
      </c>
      <c r="K88" t="str">
        <f>IF(AND(NOT(ISBLANK(D88)),ISBLANK(E88),ISBLANK(F88),NOT(ISBLANK(G88))),"直落","")&amp;IF(AND(J88=0,M88&lt;&gt;8,M88&lt;&gt;9),"休息","")&amp;IF(J88=0.5,"休半日","")&amp;IF(L88&gt;0,"加钟","")&amp;IF(M88&gt;0,"补钟","")&amp;IF(OR(MOD(ISBLANK(D88)*1+ISBLANK(E88)*1+ISBLANK(F88)*1+ISBLANK(G88)*1,2)&lt;&gt;0,ISERROR(IF(HOUR(I88)*60+MINUTE(I88)+M88*60&gt;=480,1,IF(HOUR(I88)*60+MINUTE(I88)+M88*60&gt;=240,0.5,0)))),"漏卡","")</f>
        <v>休息</v>
      </c>
      <c r="O88" s="14" t="s">
        <v>26</v>
      </c>
      <c r="P88" s="14"/>
      <c r="Q88" s="14"/>
    </row>
    <row r="89" spans="1:17">
      <c r="A89" s="15"/>
      <c r="B89" s="17"/>
      <c r="C89" s="17"/>
      <c r="D89" s="17"/>
      <c r="E89" s="17"/>
      <c r="F89" s="17"/>
      <c r="I89" s="20">
        <f t="shared" si="17"/>
        <v>0</v>
      </c>
      <c r="J89">
        <f>IFERROR(IF(HOUR(I89)*60+MINUTE(I89)+M89*60&gt;=510,1,IF(HOUR(I89)*60+MINUTE(I89)+M89*60&gt;=255,0.5,0)),"")</f>
        <v>0</v>
      </c>
      <c r="K89" t="str">
        <f>IF(AND(NOT(ISBLANK(D89)),ISBLANK(E89),ISBLANK(F89),NOT(ISBLANK(G89))),"直落","")&amp;IF(AND(J89=0,M89&lt;&gt;8.5,M89&lt;&gt;9),"休息","")&amp;IF(J89=0.5,"休半日","")&amp;IF(L89&gt;0,"加钟","")&amp;IF(M89&gt;0,"补钟","")&amp;IF(OR(MOD(ISBLANK(D89)*1+ISBLANK(E89)*1+ISBLANK(F89)*1+ISBLANK(G89)*1,2)&lt;&gt;0,ISERROR(IF(HOUR(I89)*60+MINUTE(I89)+M89*60&gt;=510,1,IF(HOUR(I89)*60+MINUTE(I89)+M89*60&gt;=255,0.5,0)))),"漏卡","")</f>
        <v>休息</v>
      </c>
      <c r="O89" s="14" t="s">
        <v>27</v>
      </c>
      <c r="P89" s="14"/>
      <c r="Q89" s="14"/>
    </row>
    <row r="90" spans="1:17">
      <c r="A90" s="15"/>
      <c r="B90" s="17"/>
      <c r="C90" s="17"/>
      <c r="D90" s="17"/>
      <c r="E90" s="17"/>
      <c r="F90" s="17"/>
      <c r="I90" s="20">
        <f t="shared" si="17"/>
        <v>0</v>
      </c>
      <c r="J90">
        <f>IFERROR(IF(HOUR(I90)*60+MINUTE(I90)+M90*60&gt;=570,1,IF(HOUR(I90)*60+MINUTE(I90)+M90*60&gt;=285,0.5,0)),"")</f>
        <v>0</v>
      </c>
      <c r="K90" t="str">
        <f>IF(AND(NOT(ISBLANK(D90)),ISBLANK(E90),ISBLANK(F90),NOT(ISBLANK(G90))),"直落","")&amp;IF(AND(J90=0,M90&lt;&gt;9.5,M90&lt;&gt;9),"休息","")&amp;IF(J90=0.5,"休半日","")&amp;IF(L90&gt;0,"加钟","")&amp;IF(M90&gt;0,"补钟","")&amp;IF(OR(MOD(ISBLANK(D90)*1+ISBLANK(E90)*1+ISBLANK(F90)*1+ISBLANK(G90)*1,2)&lt;&gt;0,ISERROR(IF(HOUR(I90)*60+MINUTE(I90)+M90*60&gt;=570,1,IF(HOUR(I90)*60+MINUTE(I90)+M90*60&gt;=285,0.5,0)))),"漏卡","")</f>
        <v>休息</v>
      </c>
      <c r="O90" s="14" t="s">
        <v>28</v>
      </c>
      <c r="P90" s="14"/>
      <c r="Q90" s="14"/>
    </row>
    <row r="92" spans="1:12">
      <c r="A92" s="21" t="s">
        <v>33</v>
      </c>
      <c r="B92" s="22"/>
      <c r="C92" s="22"/>
      <c r="D92" s="23" t="b">
        <f>AND(ISBLANK($D4),NOT(OR(AND(ISBLANK($D4),ISBLANK($E4)))))</f>
        <v>0</v>
      </c>
      <c r="E92" s="23" t="b">
        <f>AND(ISBLANK($E4),NOT(OR(AND(ISBLANK($D4),ISBLANK($E4)),AND(ISBLANK($E4),ISBLANK($F4)))))</f>
        <v>0</v>
      </c>
      <c r="F92" s="23" t="b">
        <f>AND(ISBLANK($F4),NOT(OR(AND(ISBLANK($E4),ISBLANK($F4)),AND(ISBLANK($F4),ISBLANK($G4)))))</f>
        <v>0</v>
      </c>
      <c r="G92" s="31" t="b">
        <f>AND(ISBLANK($G4),NOT(OR(AND(ISBLANK($F4),ISBLANK($G4)))))</f>
        <v>0</v>
      </c>
      <c r="H92" s="32" t="s">
        <v>34</v>
      </c>
      <c r="I92" s="35"/>
      <c r="J92" s="36" t="b">
        <f>OR(ISERROR(IF(HOUR(I4)*60+MINUTE(I4)+M4*60&gt;=540,1,IF(HOUR(I4)*60+MINUTE(I4)+M4*60&gt;=270,0.5,0))),MOD(ISBLANK(D4)*1+ISBLANK(E4)*1+ISBLANK(F4)*1+ISBLANK(G4)*1,2)&lt;&gt;0)</f>
        <v>0</v>
      </c>
      <c r="L92" s="37"/>
    </row>
    <row r="93" spans="1:12">
      <c r="A93" s="24"/>
      <c r="B93" s="25"/>
      <c r="C93" s="25"/>
      <c r="D93" s="26"/>
      <c r="E93" s="26"/>
      <c r="F93" s="26"/>
      <c r="G93" s="33"/>
      <c r="H93" s="34"/>
      <c r="I93" s="38"/>
      <c r="J93" s="39"/>
      <c r="L93" s="40"/>
    </row>
    <row r="94" spans="1:2">
      <c r="A94" s="27"/>
      <c r="B94" s="27"/>
    </row>
    <row r="96" spans="5:7">
      <c r="E96" s="28"/>
      <c r="F96" s="28"/>
      <c r="G96" s="28"/>
    </row>
    <row r="97" spans="1:7">
      <c r="A97" s="27"/>
      <c r="B97" s="27"/>
      <c r="C97" s="27"/>
      <c r="D97" s="28"/>
      <c r="E97" s="28"/>
      <c r="F97" s="28"/>
      <c r="G97" s="28"/>
    </row>
    <row r="98" spans="1:1">
      <c r="A98" t="s">
        <v>35</v>
      </c>
    </row>
    <row r="99" spans="1:1">
      <c r="A99" t="s">
        <v>36</v>
      </c>
    </row>
    <row r="100" spans="1:1">
      <c r="A100" t="s">
        <v>37</v>
      </c>
    </row>
    <row r="101" spans="1:12">
      <c r="A101" t="s">
        <v>38</v>
      </c>
      <c r="L101" s="41"/>
    </row>
    <row r="104" spans="1:1">
      <c r="A104" t="s">
        <v>39</v>
      </c>
    </row>
    <row r="105" spans="1:1">
      <c r="A105" t="s">
        <v>40</v>
      </c>
    </row>
    <row r="106" spans="1:2">
      <c r="A106" s="29" t="s">
        <v>41</v>
      </c>
      <c r="B106" t="s">
        <v>42</v>
      </c>
    </row>
    <row r="107" spans="1:2">
      <c r="A107" s="29"/>
      <c r="B107" t="s">
        <v>43</v>
      </c>
    </row>
    <row r="108" spans="1:1">
      <c r="A108" s="30"/>
    </row>
  </sheetData>
  <sortState ref="A2:E32">
    <sortCondition ref="C2:C32"/>
  </sortState>
  <mergeCells count="15">
    <mergeCell ref="A37:C37"/>
    <mergeCell ref="O41:Q41"/>
    <mergeCell ref="O42:Q42"/>
    <mergeCell ref="O43:Q43"/>
    <mergeCell ref="A84:C84"/>
    <mergeCell ref="O88:Q88"/>
    <mergeCell ref="O89:Q89"/>
    <mergeCell ref="O90:Q90"/>
    <mergeCell ref="A39:A40"/>
    <mergeCell ref="A86:A87"/>
    <mergeCell ref="A106:A107"/>
    <mergeCell ref="A49:J50"/>
    <mergeCell ref="A92:C93"/>
    <mergeCell ref="H92:I93"/>
    <mergeCell ref="A1:J2"/>
  </mergeCells>
  <conditionalFormatting sqref="F36">
    <cfRule type="cellIs" dxfId="0" priority="43" operator="greaterThan">
      <formula>0</formula>
    </cfRule>
  </conditionalFormatting>
  <conditionalFormatting sqref="H36">
    <cfRule type="cellIs" dxfId="0" priority="42" operator="greaterThan">
      <formula>0</formula>
    </cfRule>
  </conditionalFormatting>
  <conditionalFormatting sqref="I36">
    <cfRule type="cellIs" dxfId="0" priority="41" operator="greaterThan">
      <formula>0</formula>
    </cfRule>
  </conditionalFormatting>
  <conditionalFormatting sqref="J36">
    <cfRule type="cellIs" dxfId="1" priority="40" operator="equal">
      <formula>"有"</formula>
    </cfRule>
  </conditionalFormatting>
  <conditionalFormatting sqref="F37">
    <cfRule type="cellIs" dxfId="0" priority="39" operator="greaterThan">
      <formula>0</formula>
    </cfRule>
  </conditionalFormatting>
  <conditionalFormatting sqref="J51">
    <cfRule type="expression" dxfId="2" priority="31">
      <formula>OR(ISERROR(IF(HOUR(I51)*60+MINUTE(I51)+M51*60&gt;=540,1,IF(HOUR(I51)*60+MINUTE(I51)+M51*60&gt;=270,0.5,0))),MOD(ISBLANK(D51)*1+ISBLANK(E51)*1+ISBLANK(F51)*1+ISBLANK(G51)*1,2)&lt;&gt;0)</formula>
    </cfRule>
  </conditionalFormatting>
  <conditionalFormatting sqref="J52">
    <cfRule type="expression" dxfId="2" priority="30">
      <formula>OR(ISERROR(IF(HOUR(I52)*60+MINUTE(I52)+M52*60&gt;=540,1,IF(HOUR(I52)*60+MINUTE(I52)+M52*60&gt;=270,0.5,0))),MOD(ISBLANK(D52)*1+ISBLANK(E52)*1+ISBLANK(F52)*1+ISBLANK(G52)*1,2)&lt;&gt;0)</formula>
    </cfRule>
  </conditionalFormatting>
  <conditionalFormatting sqref="J53">
    <cfRule type="expression" dxfId="2" priority="29">
      <formula>OR(ISERROR(IF(HOUR(I53)*60+MINUTE(I53)+M53*60&gt;=540,1,IF(HOUR(I53)*60+MINUTE(I53)+M53*60&gt;=270,0.5,0))),MOD(ISBLANK(D53)*1+ISBLANK(E53)*1+ISBLANK(F53)*1+ISBLANK(G53)*1,2)&lt;&gt;0)</formula>
    </cfRule>
  </conditionalFormatting>
  <conditionalFormatting sqref="J54">
    <cfRule type="expression" dxfId="2" priority="28">
      <formula>OR(ISERROR(IF(HOUR(I54)*60+MINUTE(I54)+M54*60&gt;=540,1,IF(HOUR(I54)*60+MINUTE(I54)+M54*60&gt;=270,0.5,0))),MOD(ISBLANK(D54)*1+ISBLANK(E54)*1+ISBLANK(F54)*1+ISBLANK(G54)*1,2)&lt;&gt;0)</formula>
    </cfRule>
  </conditionalFormatting>
  <conditionalFormatting sqref="J55">
    <cfRule type="expression" dxfId="2" priority="27">
      <formula>OR(ISERROR(IF(HOUR(I55)*60+MINUTE(I55)+M55*60&gt;=540,1,IF(HOUR(I55)*60+MINUTE(I55)+M55*60&gt;=270,0.5,0))),MOD(ISBLANK(D55)*1+ISBLANK(E55)*1+ISBLANK(F55)*1+ISBLANK(G55)*1,2)&lt;&gt;0)</formula>
    </cfRule>
  </conditionalFormatting>
  <conditionalFormatting sqref="J56">
    <cfRule type="expression" dxfId="2" priority="26">
      <formula>OR(ISERROR(IF(HOUR(I56)*60+MINUTE(I56)+M56*60&gt;=540,1,IF(HOUR(I56)*60+MINUTE(I56)+M56*60&gt;=270,0.5,0))),MOD(ISBLANK(D56)*1+ISBLANK(E56)*1+ISBLANK(F56)*1+ISBLANK(G56)*1,2)&lt;&gt;0)</formula>
    </cfRule>
  </conditionalFormatting>
  <conditionalFormatting sqref="J57">
    <cfRule type="expression" dxfId="2" priority="25">
      <formula>OR(ISERROR(IF(HOUR(I57)*60+MINUTE(I57)+M57*60&gt;=540,1,IF(HOUR(I57)*60+MINUTE(I57)+M57*60&gt;=270,0.5,0))),MOD(ISBLANK(D57)*1+ISBLANK(E57)*1+ISBLANK(F57)*1+ISBLANK(G57)*1,2)&lt;&gt;0)</formula>
    </cfRule>
  </conditionalFormatting>
  <conditionalFormatting sqref="J58">
    <cfRule type="expression" dxfId="2" priority="24">
      <formula>OR(ISERROR(IF(HOUR(I58)*60+MINUTE(I58)+M58*60&gt;=540,1,IF(HOUR(I58)*60+MINUTE(I58)+M58*60&gt;=270,0.5,0))),MOD(ISBLANK(D58)*1+ISBLANK(E58)*1+ISBLANK(F58)*1+ISBLANK(G58)*1,2)&lt;&gt;0)</formula>
    </cfRule>
  </conditionalFormatting>
  <conditionalFormatting sqref="J59">
    <cfRule type="expression" dxfId="2" priority="23">
      <formula>OR(ISERROR(IF(HOUR(I59)*60+MINUTE(I59)+M59*60&gt;=540,1,IF(HOUR(I59)*60+MINUTE(I59)+M59*60&gt;=270,0.5,0))),MOD(ISBLANK(D59)*1+ISBLANK(E59)*1+ISBLANK(F59)*1+ISBLANK(G59)*1,2)&lt;&gt;0)</formula>
    </cfRule>
  </conditionalFormatting>
  <conditionalFormatting sqref="J60">
    <cfRule type="expression" dxfId="2" priority="22">
      <formula>OR(ISERROR(IF(HOUR(I60)*60+MINUTE(I60)+M60*60&gt;=540,1,IF(HOUR(I60)*60+MINUTE(I60)+M60*60&gt;=270,0.5,0))),MOD(ISBLANK(D60)*1+ISBLANK(E60)*1+ISBLANK(F60)*1+ISBLANK(G60)*1,2)&lt;&gt;0)</formula>
    </cfRule>
  </conditionalFormatting>
  <conditionalFormatting sqref="J61">
    <cfRule type="expression" dxfId="2" priority="21">
      <formula>OR(ISERROR(IF(HOUR(I61)*60+MINUTE(I61)+M61*60&gt;=540,1,IF(HOUR(I61)*60+MINUTE(I61)+M61*60&gt;=270,0.5,0))),MOD(ISBLANK(D61)*1+ISBLANK(E61)*1+ISBLANK(F61)*1+ISBLANK(G61)*1,2)&lt;&gt;0)</formula>
    </cfRule>
  </conditionalFormatting>
  <conditionalFormatting sqref="J62">
    <cfRule type="expression" dxfId="2" priority="20">
      <formula>OR(ISERROR(IF(HOUR(I62)*60+MINUTE(I62)+M62*60&gt;=540,1,IF(HOUR(I62)*60+MINUTE(I62)+M62*60&gt;=270,0.5,0))),MOD(ISBLANK(D62)*1+ISBLANK(E62)*1+ISBLANK(F62)*1+ISBLANK(G62)*1,2)&lt;&gt;0)</formula>
    </cfRule>
  </conditionalFormatting>
  <conditionalFormatting sqref="J63">
    <cfRule type="expression" dxfId="2" priority="19">
      <formula>OR(ISERROR(IF(HOUR(I63)*60+MINUTE(I63)+M63*60&gt;=540,1,IF(HOUR(I63)*60+MINUTE(I63)+M63*60&gt;=270,0.5,0))),MOD(ISBLANK(D63)*1+ISBLANK(E63)*1+ISBLANK(F63)*1+ISBLANK(G63)*1,2)&lt;&gt;0)</formula>
    </cfRule>
  </conditionalFormatting>
  <conditionalFormatting sqref="J64">
    <cfRule type="expression" dxfId="2" priority="18">
      <formula>OR(ISERROR(IF(HOUR(I64)*60+MINUTE(I64)+M64*60&gt;=540,1,IF(HOUR(I64)*60+MINUTE(I64)+M64*60&gt;=270,0.5,0))),MOD(ISBLANK(D64)*1+ISBLANK(E64)*1+ISBLANK(F64)*1+ISBLANK(G64)*1,2)&lt;&gt;0)</formula>
    </cfRule>
  </conditionalFormatting>
  <conditionalFormatting sqref="J65">
    <cfRule type="expression" dxfId="2" priority="17">
      <formula>OR(ISERROR(IF(HOUR(I65)*60+MINUTE(I65)+M65*60&gt;=540,1,IF(HOUR(I65)*60+MINUTE(I65)+M65*60&gt;=270,0.5,0))),MOD(ISBLANK(D65)*1+ISBLANK(E65)*1+ISBLANK(F65)*1+ISBLANK(G65)*1,2)&lt;&gt;0)</formula>
    </cfRule>
  </conditionalFormatting>
  <conditionalFormatting sqref="J66">
    <cfRule type="expression" dxfId="2" priority="16">
      <formula>OR(ISERROR(IF(HOUR(I66)*60+MINUTE(I66)+M66*60&gt;=540,1,IF(HOUR(I66)*60+MINUTE(I66)+M66*60&gt;=270,0.5,0))),MOD(ISBLANK(D66)*1+ISBLANK(E66)*1+ISBLANK(F66)*1+ISBLANK(G66)*1,2)&lt;&gt;0)</formula>
    </cfRule>
  </conditionalFormatting>
  <conditionalFormatting sqref="J67">
    <cfRule type="expression" dxfId="2" priority="15">
      <formula>OR(ISERROR(IF(HOUR(I67)*60+MINUTE(I67)+M67*60&gt;=540,1,IF(HOUR(I67)*60+MINUTE(I67)+M67*60&gt;=270,0.5,0))),MOD(ISBLANK(D67)*1+ISBLANK(E67)*1+ISBLANK(F67)*1+ISBLANK(G67)*1,2)&lt;&gt;0)</formula>
    </cfRule>
  </conditionalFormatting>
  <conditionalFormatting sqref="J68">
    <cfRule type="expression" dxfId="2" priority="14">
      <formula>OR(ISERROR(IF(HOUR(I68)*60+MINUTE(I68)+M68*60&gt;=540,1,IF(HOUR(I68)*60+MINUTE(I68)+M68*60&gt;=270,0.5,0))),MOD(ISBLANK(D68)*1+ISBLANK(E68)*1+ISBLANK(F68)*1+ISBLANK(G68)*1,2)&lt;&gt;0)</formula>
    </cfRule>
  </conditionalFormatting>
  <conditionalFormatting sqref="J69">
    <cfRule type="expression" dxfId="2" priority="13">
      <formula>OR(ISERROR(IF(HOUR(I69)*60+MINUTE(I69)+M69*60&gt;=540,1,IF(HOUR(I69)*60+MINUTE(I69)+M69*60&gt;=270,0.5,0))),MOD(ISBLANK(D69)*1+ISBLANK(E69)*1+ISBLANK(F69)*1+ISBLANK(G69)*1,2)&lt;&gt;0)</formula>
    </cfRule>
  </conditionalFormatting>
  <conditionalFormatting sqref="J70">
    <cfRule type="expression" dxfId="2" priority="12">
      <formula>OR(ISERROR(IF(HOUR(I70)*60+MINUTE(I70)+M70*60&gt;=540,1,IF(HOUR(I70)*60+MINUTE(I70)+M70*60&gt;=270,0.5,0))),MOD(ISBLANK(D70)*1+ISBLANK(E70)*1+ISBLANK(F70)*1+ISBLANK(G70)*1,2)&lt;&gt;0)</formula>
    </cfRule>
  </conditionalFormatting>
  <conditionalFormatting sqref="J71">
    <cfRule type="expression" dxfId="2" priority="11">
      <formula>OR(ISERROR(IF(HOUR(I71)*60+MINUTE(I71)+M71*60&gt;=540,1,IF(HOUR(I71)*60+MINUTE(I71)+M71*60&gt;=270,0.5,0))),MOD(ISBLANK(D71)*1+ISBLANK(E71)*1+ISBLANK(F71)*1+ISBLANK(G71)*1,2)&lt;&gt;0)</formula>
    </cfRule>
  </conditionalFormatting>
  <conditionalFormatting sqref="J72">
    <cfRule type="expression" dxfId="2" priority="10">
      <formula>OR(ISERROR(IF(HOUR(I72)*60+MINUTE(I72)+M72*60&gt;=540,1,IF(HOUR(I72)*60+MINUTE(I72)+M72*60&gt;=270,0.5,0))),MOD(ISBLANK(D72)*1+ISBLANK(E72)*1+ISBLANK(F72)*1+ISBLANK(G72)*1,2)&lt;&gt;0)</formula>
    </cfRule>
  </conditionalFormatting>
  <conditionalFormatting sqref="J73">
    <cfRule type="expression" dxfId="2" priority="9">
      <formula>OR(ISERROR(IF(HOUR(I73)*60+MINUTE(I73)+M73*60&gt;=540,1,IF(HOUR(I73)*60+MINUTE(I73)+M73*60&gt;=270,0.5,0))),MOD(ISBLANK(D73)*1+ISBLANK(E73)*1+ISBLANK(F73)*1+ISBLANK(G73)*1,2)&lt;&gt;0)</formula>
    </cfRule>
  </conditionalFormatting>
  <conditionalFormatting sqref="J74">
    <cfRule type="expression" dxfId="2" priority="8">
      <formula>OR(ISERROR(IF(HOUR(I74)*60+MINUTE(I74)+M74*60&gt;=540,1,IF(HOUR(I74)*60+MINUTE(I74)+M74*60&gt;=270,0.5,0))),MOD(ISBLANK(D74)*1+ISBLANK(E74)*1+ISBLANK(F74)*1+ISBLANK(G74)*1,2)&lt;&gt;0)</formula>
    </cfRule>
  </conditionalFormatting>
  <conditionalFormatting sqref="J75">
    <cfRule type="expression" dxfId="2" priority="7">
      <formula>OR(ISERROR(IF(HOUR(I75)*60+MINUTE(I75)+M75*60&gt;=540,1,IF(HOUR(I75)*60+MINUTE(I75)+M75*60&gt;=270,0.5,0))),MOD(ISBLANK(D75)*1+ISBLANK(E75)*1+ISBLANK(F75)*1+ISBLANK(G75)*1,2)&lt;&gt;0)</formula>
    </cfRule>
  </conditionalFormatting>
  <conditionalFormatting sqref="J76">
    <cfRule type="expression" dxfId="2" priority="6">
      <formula>OR(ISERROR(IF(HOUR(I76)*60+MINUTE(I76)+M76*60&gt;=540,1,IF(HOUR(I76)*60+MINUTE(I76)+M76*60&gt;=270,0.5,0))),MOD(ISBLANK(D76)*1+ISBLANK(E76)*1+ISBLANK(F76)*1+ISBLANK(G76)*1,2)&lt;&gt;0)</formula>
    </cfRule>
  </conditionalFormatting>
  <conditionalFormatting sqref="J77">
    <cfRule type="expression" dxfId="2" priority="5">
      <formula>OR(ISERROR(IF(HOUR(I77)*60+MINUTE(I77)+M77*60&gt;=540,1,IF(HOUR(I77)*60+MINUTE(I77)+M77*60&gt;=270,0.5,0))),MOD(ISBLANK(D77)*1+ISBLANK(E77)*1+ISBLANK(F77)*1+ISBLANK(G77)*1,2)&lt;&gt;0)</formula>
    </cfRule>
  </conditionalFormatting>
  <conditionalFormatting sqref="J78">
    <cfRule type="expression" dxfId="2" priority="4">
      <formula>OR(ISERROR(IF(HOUR(I78)*60+MINUTE(I78)+M78*60&gt;=540,1,IF(HOUR(I78)*60+MINUTE(I78)+M78*60&gt;=270,0.5,0))),MOD(ISBLANK(D78)*1+ISBLANK(E78)*1+ISBLANK(F78)*1+ISBLANK(G78)*1,2)&lt;&gt;0)</formula>
    </cfRule>
  </conditionalFormatting>
  <conditionalFormatting sqref="J79">
    <cfRule type="expression" dxfId="2" priority="3">
      <formula>OR(ISERROR(IF(HOUR(I79)*60+MINUTE(I79)+M79*60&gt;=540,1,IF(HOUR(I79)*60+MINUTE(I79)+M79*60&gt;=270,0.5,0))),MOD(ISBLANK(D79)*1+ISBLANK(E79)*1+ISBLANK(F79)*1+ISBLANK(G79)*1,2)&lt;&gt;0)</formula>
    </cfRule>
  </conditionalFormatting>
  <conditionalFormatting sqref="J80">
    <cfRule type="expression" dxfId="2" priority="2">
      <formula>OR(ISERROR(IF(HOUR(I80)*60+MINUTE(I80)+M80*60&gt;=540,1,IF(HOUR(I80)*60+MINUTE(I80)+M80*60&gt;=270,0.5,0))),MOD(ISBLANK(D80)*1+ISBLANK(E80)*1+ISBLANK(F80)*1+ISBLANK(G80)*1,2)&lt;&gt;0)</formula>
    </cfRule>
  </conditionalFormatting>
  <conditionalFormatting sqref="J81">
    <cfRule type="expression" dxfId="2" priority="1">
      <formula>OR(ISERROR(IF(HOUR(I81)*60+MINUTE(I81)+M81*60&gt;=540,1,IF(HOUR(I81)*60+MINUTE(I81)+M81*60&gt;=270,0.5,0))),MOD(ISBLANK(D81)*1+ISBLANK(E81)*1+ISBLANK(F81)*1+ISBLANK(G81)*1,2)&lt;&gt;0)</formula>
    </cfRule>
  </conditionalFormatting>
  <conditionalFormatting sqref="F83">
    <cfRule type="cellIs" dxfId="0" priority="92" operator="greaterThan">
      <formula>0</formula>
    </cfRule>
  </conditionalFormatting>
  <conditionalFormatting sqref="H83">
    <cfRule type="cellIs" dxfId="0" priority="94" operator="greaterThan">
      <formula>0</formula>
    </cfRule>
  </conditionalFormatting>
  <conditionalFormatting sqref="I83">
    <cfRule type="cellIs" dxfId="0" priority="93" operator="greaterThan">
      <formula>0</formula>
    </cfRule>
  </conditionalFormatting>
  <conditionalFormatting sqref="J83">
    <cfRule type="containsText" dxfId="1" priority="99" operator="between" text="有">
      <formula>NOT(ISERROR(SEARCH("有",J83)))</formula>
    </cfRule>
  </conditionalFormatting>
  <conditionalFormatting sqref="F84">
    <cfRule type="cellIs" dxfId="0" priority="90" operator="greaterThan">
      <formula>0</formula>
    </cfRule>
  </conditionalFormatting>
  <conditionalFormatting sqref="J88">
    <cfRule type="expression" dxfId="2" priority="33">
      <formula>OR(ISERROR(IF(HOUR(I88)*60+MINUTE(I88)+M88*60&gt;=570,1,IF(HOUR(I88)*60+MINUTE(I88)+M88*60&gt;=285,0.5,0))),MOD(ISBLANK(D88)*1+ISBLANK(E88)*1+ISBLANK(F88)*1+ISBLANK(G88)*1,2)&lt;&gt;0)</formula>
    </cfRule>
  </conditionalFormatting>
  <conditionalFormatting sqref="J89">
    <cfRule type="expression" dxfId="2" priority="34">
      <formula>OR(ISERROR(IF(HOUR(I89)*60+MINUTE(I89)+M89*60&gt;=570,1,IF(HOUR(I89)*60+MINUTE(I89)+M89*60&gt;=285,0.5,0))),MOD(ISBLANK(D89)*1+ISBLANK(E89)*1+ISBLANK(F89)*1+ISBLANK(G89)*1,2)&lt;&gt;0)</formula>
    </cfRule>
  </conditionalFormatting>
  <conditionalFormatting sqref="J90">
    <cfRule type="expression" dxfId="2" priority="32">
      <formula>OR(ISERROR(IF(HOUR(I90)*60+MINUTE(I90)+M90*60&gt;=570,1,IF(HOUR(I90)*60+MINUTE(I90)+M90*60&gt;=285,0.5,0))),MOD(ISBLANK(D90)*1+ISBLANK(E90)*1+ISBLANK(F90)*1+ISBLANK(G90)*1,2)&lt;&gt;0)</formula>
    </cfRule>
  </conditionalFormatting>
  <conditionalFormatting sqref="D51:D81">
    <cfRule type="expression" dxfId="0" priority="80">
      <formula>AND(ISBLANK($D51),NOT(OR(AND(ISBLANK($D51),ISBLANK($E51)))))</formula>
    </cfRule>
  </conditionalFormatting>
  <conditionalFormatting sqref="E51:E81">
    <cfRule type="expression" dxfId="0" priority="79">
      <formula>AND(ISBLANK($E51),NOT(OR(AND(ISBLANK($D51),ISBLANK($E51)),AND(ISBLANK($E51),ISBLANK($F51)))))</formula>
    </cfRule>
  </conditionalFormatting>
  <conditionalFormatting sqref="F51:F81">
    <cfRule type="expression" dxfId="0" priority="78">
      <formula>AND(ISBLANK($F51),NOT(OR(AND(ISBLANK($E51),ISBLANK($F51)),AND(ISBLANK($F51),ISBLANK($G51)))))</formula>
    </cfRule>
  </conditionalFormatting>
  <conditionalFormatting sqref="G51:G81">
    <cfRule type="expression" dxfId="0" priority="77">
      <formula>AND(ISBLANK($G51),NOT(OR(AND(ISBLANK($F51),ISBLANK($G51)))))</formula>
    </cfRule>
  </conditionalFormatting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185"/>
  <sheetViews>
    <sheetView topLeftCell="A74" workbookViewId="0">
      <selection activeCell="A75" sqref="A75:O182"/>
    </sheetView>
  </sheetViews>
  <sheetFormatPr defaultColWidth="9" defaultRowHeight="15.75"/>
  <sheetData>
    <row r="1" s="1" customFormat="1"/>
    <row r="3" s="2" customFormat="1"/>
    <row r="4" spans="1:1">
      <c r="A4" s="42" t="s">
        <v>44</v>
      </c>
    </row>
    <row r="5" spans="1:1">
      <c r="A5" t="s">
        <v>45</v>
      </c>
    </row>
    <row r="6" spans="1:1">
      <c r="A6" t="s">
        <v>46</v>
      </c>
    </row>
    <row r="7" spans="1:1">
      <c r="A7" t="s">
        <v>47</v>
      </c>
    </row>
    <row r="8" spans="1:1">
      <c r="A8" t="s">
        <v>46</v>
      </c>
    </row>
    <row r="9" spans="1:1">
      <c r="A9" t="s">
        <v>48</v>
      </c>
    </row>
    <row r="10" spans="1:1">
      <c r="A10" t="s">
        <v>49</v>
      </c>
    </row>
    <row r="11" spans="1:1">
      <c r="A11" t="s">
        <v>50</v>
      </c>
    </row>
    <row r="12" spans="1:1">
      <c r="A12" t="s">
        <v>51</v>
      </c>
    </row>
    <row r="13" spans="1:1">
      <c r="A13" t="s">
        <v>49</v>
      </c>
    </row>
    <row r="14" spans="1:1">
      <c r="A14" t="s">
        <v>52</v>
      </c>
    </row>
    <row r="15" spans="1:1">
      <c r="A15" t="s">
        <v>53</v>
      </c>
    </row>
    <row r="16" spans="1:1">
      <c r="A16" t="s">
        <v>54</v>
      </c>
    </row>
    <row r="17" spans="1:1">
      <c r="A17" t="s">
        <v>49</v>
      </c>
    </row>
    <row r="18" spans="1:1">
      <c r="A18" t="s">
        <v>55</v>
      </c>
    </row>
    <row r="19" spans="1:1">
      <c r="A19" t="s">
        <v>56</v>
      </c>
    </row>
    <row r="20" spans="1:1">
      <c r="A20" t="s">
        <v>54</v>
      </c>
    </row>
    <row r="21" spans="1:1">
      <c r="A21" t="s">
        <v>49</v>
      </c>
    </row>
    <row r="22" spans="1:1">
      <c r="A22" t="s">
        <v>57</v>
      </c>
    </row>
    <row r="23" spans="1:1">
      <c r="A23" t="s">
        <v>58</v>
      </c>
    </row>
    <row r="24" spans="1:1">
      <c r="A24" t="s">
        <v>59</v>
      </c>
    </row>
    <row r="25" spans="1:1">
      <c r="A25" t="s">
        <v>60</v>
      </c>
    </row>
    <row r="26" spans="1:1">
      <c r="A26" t="s">
        <v>61</v>
      </c>
    </row>
    <row r="28" spans="1:1">
      <c r="A28" t="s">
        <v>62</v>
      </c>
    </row>
    <row r="31" s="3" customFormat="1"/>
    <row r="34" spans="1:1">
      <c r="A34" s="42" t="s">
        <v>63</v>
      </c>
    </row>
    <row r="35" spans="1:1">
      <c r="A35" t="s">
        <v>64</v>
      </c>
    </row>
    <row r="36" spans="1:1">
      <c r="A36" t="s">
        <v>65</v>
      </c>
    </row>
    <row r="37" spans="1:1">
      <c r="A37" t="s">
        <v>66</v>
      </c>
    </row>
    <row r="38" spans="1:1">
      <c r="A38" t="s">
        <v>67</v>
      </c>
    </row>
    <row r="39" spans="1:1">
      <c r="A39" t="s">
        <v>68</v>
      </c>
    </row>
    <row r="40" spans="1:1">
      <c r="A40" t="s">
        <v>69</v>
      </c>
    </row>
    <row r="41" spans="1:1">
      <c r="A41" t="s">
        <v>70</v>
      </c>
    </row>
    <row r="42" spans="1:1">
      <c r="A42" t="s">
        <v>71</v>
      </c>
    </row>
    <row r="43" spans="1:1">
      <c r="A43" t="s">
        <v>72</v>
      </c>
    </row>
    <row r="44" spans="1:1">
      <c r="A44" t="s">
        <v>73</v>
      </c>
    </row>
    <row r="45" spans="1:1">
      <c r="A45" t="s">
        <v>74</v>
      </c>
    </row>
    <row r="46" spans="1:1">
      <c r="A46" t="s">
        <v>75</v>
      </c>
    </row>
    <row r="47" spans="1:1">
      <c r="A47" t="s">
        <v>76</v>
      </c>
    </row>
    <row r="48" spans="1:1">
      <c r="A48" t="s">
        <v>74</v>
      </c>
    </row>
    <row r="49" spans="1:1">
      <c r="A49" t="s">
        <v>77</v>
      </c>
    </row>
    <row r="50" spans="1:1">
      <c r="A50" t="s">
        <v>78</v>
      </c>
    </row>
    <row r="51" spans="1:1">
      <c r="A51" t="s">
        <v>79</v>
      </c>
    </row>
    <row r="52" spans="1:1">
      <c r="A52" t="s">
        <v>74</v>
      </c>
    </row>
    <row r="53" spans="1:1">
      <c r="A53" t="s">
        <v>80</v>
      </c>
    </row>
    <row r="54" spans="1:1">
      <c r="A54" t="s">
        <v>81</v>
      </c>
    </row>
    <row r="55" spans="1:1">
      <c r="A55" t="s">
        <v>79</v>
      </c>
    </row>
    <row r="56" spans="1:1">
      <c r="A56" t="s">
        <v>74</v>
      </c>
    </row>
    <row r="57" spans="1:1">
      <c r="A57" t="s">
        <v>82</v>
      </c>
    </row>
    <row r="58" spans="1:1">
      <c r="A58" t="s">
        <v>83</v>
      </c>
    </row>
    <row r="59" spans="1:1">
      <c r="A59" t="s">
        <v>84</v>
      </c>
    </row>
    <row r="60" spans="1:1">
      <c r="A60" t="s">
        <v>85</v>
      </c>
    </row>
    <row r="61" spans="1:1">
      <c r="A61" t="s">
        <v>86</v>
      </c>
    </row>
    <row r="62" spans="1:1">
      <c r="A62" t="s">
        <v>72</v>
      </c>
    </row>
    <row r="63" spans="1:1">
      <c r="A63" t="s">
        <v>87</v>
      </c>
    </row>
    <row r="64" spans="1:1">
      <c r="A64" t="s">
        <v>88</v>
      </c>
    </row>
    <row r="65" spans="1:1">
      <c r="A65" t="s">
        <v>89</v>
      </c>
    </row>
    <row r="66" spans="1:1">
      <c r="A66" t="s">
        <v>90</v>
      </c>
    </row>
    <row r="67" spans="1:1">
      <c r="A67" t="s">
        <v>91</v>
      </c>
    </row>
    <row r="68" spans="1:1">
      <c r="A68" t="s">
        <v>92</v>
      </c>
    </row>
    <row r="69" spans="1:1">
      <c r="A69" t="s">
        <v>62</v>
      </c>
    </row>
    <row r="72" s="1" customFormat="1"/>
    <row r="75" spans="1:1">
      <c r="A75" t="s">
        <v>93</v>
      </c>
    </row>
    <row r="76" spans="1:1">
      <c r="A76" t="s">
        <v>94</v>
      </c>
    </row>
    <row r="78" spans="1:1">
      <c r="A78" t="s">
        <v>95</v>
      </c>
    </row>
    <row r="79" spans="1:1">
      <c r="A79" t="s">
        <v>96</v>
      </c>
    </row>
    <row r="80" spans="1:1">
      <c r="A80" t="s">
        <v>97</v>
      </c>
    </row>
    <row r="81" spans="1:1">
      <c r="A81" t="s">
        <v>98</v>
      </c>
    </row>
    <row r="82" spans="1:1">
      <c r="A82" t="s">
        <v>99</v>
      </c>
    </row>
    <row r="83" spans="1:1">
      <c r="A83" t="s">
        <v>100</v>
      </c>
    </row>
    <row r="84" spans="1:1">
      <c r="A84" t="s">
        <v>54</v>
      </c>
    </row>
    <row r="85" spans="1:1">
      <c r="A85" t="s">
        <v>58</v>
      </c>
    </row>
    <row r="86" spans="1:1">
      <c r="A86" t="s">
        <v>92</v>
      </c>
    </row>
    <row r="88" spans="1:1">
      <c r="A88" t="s">
        <v>62</v>
      </c>
    </row>
    <row r="91" spans="1:1">
      <c r="A91" t="s">
        <v>101</v>
      </c>
    </row>
    <row r="92" spans="1:1">
      <c r="A92" t="s">
        <v>102</v>
      </c>
    </row>
    <row r="93" spans="1:1">
      <c r="A93" t="s">
        <v>103</v>
      </c>
    </row>
    <row r="94" spans="1:1">
      <c r="A94" t="s">
        <v>104</v>
      </c>
    </row>
    <row r="95" spans="1:1">
      <c r="A95" t="s">
        <v>105</v>
      </c>
    </row>
    <row r="96" spans="1:1">
      <c r="A96" t="s">
        <v>106</v>
      </c>
    </row>
    <row r="97" spans="1:1">
      <c r="A97" t="s">
        <v>107</v>
      </c>
    </row>
    <row r="98" spans="1:1">
      <c r="A98" t="s">
        <v>108</v>
      </c>
    </row>
    <row r="99" spans="1:1">
      <c r="A99" t="s">
        <v>109</v>
      </c>
    </row>
    <row r="100" spans="1:1">
      <c r="A100" t="s">
        <v>110</v>
      </c>
    </row>
    <row r="101" spans="1:1">
      <c r="A101" t="s">
        <v>111</v>
      </c>
    </row>
    <row r="102" spans="1:1">
      <c r="A102" t="s">
        <v>112</v>
      </c>
    </row>
    <row r="103" spans="1:1">
      <c r="A103" t="s">
        <v>113</v>
      </c>
    </row>
    <row r="104" spans="1:1">
      <c r="A104" t="s">
        <v>114</v>
      </c>
    </row>
    <row r="105" spans="1:1">
      <c r="A105" t="s">
        <v>115</v>
      </c>
    </row>
    <row r="106" spans="1:1">
      <c r="A106" t="s">
        <v>116</v>
      </c>
    </row>
    <row r="107" spans="1:1">
      <c r="A107" t="s">
        <v>117</v>
      </c>
    </row>
    <row r="108" spans="1:1">
      <c r="A108" t="s">
        <v>118</v>
      </c>
    </row>
    <row r="109" spans="1:1">
      <c r="A109" t="s">
        <v>119</v>
      </c>
    </row>
    <row r="110" spans="1:1">
      <c r="A110" t="s">
        <v>120</v>
      </c>
    </row>
    <row r="111" spans="1:1">
      <c r="A111" t="s">
        <v>121</v>
      </c>
    </row>
    <row r="112" spans="1:1">
      <c r="A112" t="s">
        <v>122</v>
      </c>
    </row>
    <row r="113" spans="1:1">
      <c r="A113" t="s">
        <v>123</v>
      </c>
    </row>
    <row r="114" spans="1:1">
      <c r="A114" t="s">
        <v>124</v>
      </c>
    </row>
    <row r="115" spans="1:1">
      <c r="A115" t="s">
        <v>125</v>
      </c>
    </row>
    <row r="116" spans="1:1">
      <c r="A116" t="s">
        <v>126</v>
      </c>
    </row>
    <row r="117" spans="1:1">
      <c r="A117" t="s">
        <v>127</v>
      </c>
    </row>
    <row r="118" spans="1:1">
      <c r="A118" t="s">
        <v>128</v>
      </c>
    </row>
    <row r="119" spans="1:1">
      <c r="A119" t="s">
        <v>129</v>
      </c>
    </row>
    <row r="120" spans="1:1">
      <c r="A120" t="s">
        <v>130</v>
      </c>
    </row>
    <row r="121" spans="1:1">
      <c r="A121" t="s">
        <v>131</v>
      </c>
    </row>
    <row r="122" spans="1:1">
      <c r="A122" t="s">
        <v>132</v>
      </c>
    </row>
    <row r="123" spans="1:1">
      <c r="A123" t="s">
        <v>133</v>
      </c>
    </row>
    <row r="124" spans="1:1">
      <c r="A124" t="s">
        <v>134</v>
      </c>
    </row>
    <row r="125" spans="1:1">
      <c r="A125" t="s">
        <v>135</v>
      </c>
    </row>
    <row r="126" spans="1:1">
      <c r="A126" t="s">
        <v>136</v>
      </c>
    </row>
    <row r="127" spans="1:1">
      <c r="A127" t="s">
        <v>137</v>
      </c>
    </row>
    <row r="128" spans="1:1">
      <c r="A128" t="s">
        <v>138</v>
      </c>
    </row>
    <row r="129" spans="1:1">
      <c r="A129" t="s">
        <v>139</v>
      </c>
    </row>
    <row r="130" spans="1:1">
      <c r="A130" t="s">
        <v>140</v>
      </c>
    </row>
    <row r="131" spans="1:1">
      <c r="A131" t="s">
        <v>141</v>
      </c>
    </row>
    <row r="132" spans="1:1">
      <c r="A132" t="s">
        <v>142</v>
      </c>
    </row>
    <row r="133" spans="1:1">
      <c r="A133" t="s">
        <v>143</v>
      </c>
    </row>
    <row r="134" spans="1:1">
      <c r="A134" t="s">
        <v>144</v>
      </c>
    </row>
    <row r="135" spans="1:1">
      <c r="A135" t="s">
        <v>145</v>
      </c>
    </row>
    <row r="137" spans="1:1">
      <c r="A137" t="s">
        <v>146</v>
      </c>
    </row>
    <row r="138" spans="1:1">
      <c r="A138" t="s">
        <v>147</v>
      </c>
    </row>
    <row r="139" spans="1:1">
      <c r="A139" t="s">
        <v>148</v>
      </c>
    </row>
    <row r="140" spans="1:1">
      <c r="A140" t="s">
        <v>149</v>
      </c>
    </row>
    <row r="141" spans="1:1">
      <c r="A141" t="s">
        <v>150</v>
      </c>
    </row>
    <row r="142" spans="1:1">
      <c r="A142" t="s">
        <v>151</v>
      </c>
    </row>
    <row r="143" spans="1:1">
      <c r="A143" t="s">
        <v>152</v>
      </c>
    </row>
    <row r="144" spans="1:1">
      <c r="A144" t="s">
        <v>153</v>
      </c>
    </row>
    <row r="145" spans="1:1">
      <c r="A145" t="s">
        <v>150</v>
      </c>
    </row>
    <row r="146" spans="1:1">
      <c r="A146" t="s">
        <v>154</v>
      </c>
    </row>
    <row r="147" spans="1:1">
      <c r="A147" t="s">
        <v>155</v>
      </c>
    </row>
    <row r="148" spans="1:1">
      <c r="A148" t="s">
        <v>153</v>
      </c>
    </row>
    <row r="149" spans="1:1">
      <c r="A149" t="s">
        <v>150</v>
      </c>
    </row>
    <row r="150" spans="1:1">
      <c r="A150" t="s">
        <v>156</v>
      </c>
    </row>
    <row r="151" spans="1:1">
      <c r="A151" t="s">
        <v>157</v>
      </c>
    </row>
    <row r="152" spans="1:1">
      <c r="A152" t="s">
        <v>158</v>
      </c>
    </row>
    <row r="153" spans="1:1">
      <c r="A153" t="s">
        <v>159</v>
      </c>
    </row>
    <row r="154" spans="1:1">
      <c r="A154" t="s">
        <v>160</v>
      </c>
    </row>
    <row r="155" spans="1:1">
      <c r="A155" t="s">
        <v>161</v>
      </c>
    </row>
    <row r="156" spans="1:1">
      <c r="A156" t="s">
        <v>162</v>
      </c>
    </row>
    <row r="158" spans="1:1">
      <c r="A158" t="s">
        <v>163</v>
      </c>
    </row>
    <row r="159" spans="1:1">
      <c r="A159" t="s">
        <v>164</v>
      </c>
    </row>
    <row r="160" spans="1:1">
      <c r="A160" t="s">
        <v>165</v>
      </c>
    </row>
    <row r="161" spans="1:1">
      <c r="A161" t="s">
        <v>166</v>
      </c>
    </row>
    <row r="162" spans="1:1">
      <c r="A162" t="s">
        <v>167</v>
      </c>
    </row>
    <row r="163" spans="1:1">
      <c r="A163" t="s">
        <v>168</v>
      </c>
    </row>
    <row r="164" spans="1:1">
      <c r="A164" t="s">
        <v>169</v>
      </c>
    </row>
    <row r="165" spans="1:1">
      <c r="A165" t="s">
        <v>170</v>
      </c>
    </row>
    <row r="166" spans="1:1">
      <c r="A166" t="s">
        <v>171</v>
      </c>
    </row>
    <row r="167" spans="1:1">
      <c r="A167" t="s">
        <v>172</v>
      </c>
    </row>
    <row r="168" spans="1:1">
      <c r="A168" t="s">
        <v>173</v>
      </c>
    </row>
    <row r="169" spans="1:1">
      <c r="A169" t="s">
        <v>174</v>
      </c>
    </row>
    <row r="170" spans="1:1">
      <c r="A170" t="s">
        <v>175</v>
      </c>
    </row>
    <row r="171" spans="1:1">
      <c r="A171" t="s">
        <v>176</v>
      </c>
    </row>
    <row r="172" spans="1:1">
      <c r="A172" t="s">
        <v>177</v>
      </c>
    </row>
    <row r="173" spans="1:1">
      <c r="A173" t="s">
        <v>178</v>
      </c>
    </row>
    <row r="174" spans="1:1">
      <c r="A174" t="s">
        <v>179</v>
      </c>
    </row>
    <row r="175" spans="1:1">
      <c r="A175" t="s">
        <v>180</v>
      </c>
    </row>
    <row r="176" spans="1:1">
      <c r="A176" t="s">
        <v>100</v>
      </c>
    </row>
    <row r="177" spans="1:1">
      <c r="A177" t="s">
        <v>181</v>
      </c>
    </row>
    <row r="178" spans="1:1">
      <c r="A178" t="s">
        <v>170</v>
      </c>
    </row>
    <row r="179" spans="1:1">
      <c r="A179" t="s">
        <v>182</v>
      </c>
    </row>
    <row r="180" spans="1:1">
      <c r="A180" t="s">
        <v>183</v>
      </c>
    </row>
    <row r="181" spans="1:1">
      <c r="A181" t="s">
        <v>184</v>
      </c>
    </row>
    <row r="182" spans="1:1">
      <c r="A182" t="s">
        <v>62</v>
      </c>
    </row>
    <row r="185" s="1" customFormat="1"/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192"/>
  <sheetViews>
    <sheetView topLeftCell="A20" workbookViewId="0">
      <selection activeCell="A21" sqref="A21:P189"/>
    </sheetView>
  </sheetViews>
  <sheetFormatPr defaultColWidth="9" defaultRowHeight="15.75"/>
  <sheetData>
    <row r="1" s="1" customFormat="1"/>
    <row r="4" spans="1:1">
      <c r="A4" t="s">
        <v>185</v>
      </c>
    </row>
    <row r="6" spans="1:1">
      <c r="A6" t="s">
        <v>186</v>
      </c>
    </row>
    <row r="7" spans="1:1">
      <c r="A7" t="s">
        <v>187</v>
      </c>
    </row>
    <row r="8" spans="1:1">
      <c r="A8" t="s">
        <v>188</v>
      </c>
    </row>
    <row r="9" spans="1:1">
      <c r="A9" t="s">
        <v>189</v>
      </c>
    </row>
    <row r="10" spans="1:1">
      <c r="A10" t="s">
        <v>190</v>
      </c>
    </row>
    <row r="11" spans="1:1">
      <c r="A11" t="s">
        <v>54</v>
      </c>
    </row>
    <row r="12" spans="1:1">
      <c r="A12" t="s">
        <v>191</v>
      </c>
    </row>
    <row r="13" spans="1:1">
      <c r="A13" t="s">
        <v>192</v>
      </c>
    </row>
    <row r="14" spans="1:1">
      <c r="A14" t="s">
        <v>193</v>
      </c>
    </row>
    <row r="15" spans="1:1">
      <c r="A15" t="s">
        <v>62</v>
      </c>
    </row>
    <row r="18" s="1" customFormat="1"/>
    <row r="21" spans="1:1">
      <c r="A21" t="s">
        <v>93</v>
      </c>
    </row>
    <row r="22" spans="1:1">
      <c r="A22" t="s">
        <v>194</v>
      </c>
    </row>
    <row r="24" spans="1:1">
      <c r="A24" t="s">
        <v>95</v>
      </c>
    </row>
    <row r="25" spans="1:1">
      <c r="A25" t="s">
        <v>96</v>
      </c>
    </row>
    <row r="26" spans="1:1">
      <c r="A26" t="s">
        <v>97</v>
      </c>
    </row>
    <row r="27" spans="1:1">
      <c r="A27" t="s">
        <v>98</v>
      </c>
    </row>
    <row r="28" spans="1:1">
      <c r="A28" t="s">
        <v>195</v>
      </c>
    </row>
    <row r="29" spans="1:1">
      <c r="A29" t="s">
        <v>100</v>
      </c>
    </row>
    <row r="30" spans="1:1">
      <c r="A30" t="s">
        <v>54</v>
      </c>
    </row>
    <row r="31" spans="1:1">
      <c r="A31" t="s">
        <v>58</v>
      </c>
    </row>
    <row r="32" spans="1:1">
      <c r="A32" t="s">
        <v>92</v>
      </c>
    </row>
    <row r="34" spans="1:1">
      <c r="A34" t="s">
        <v>62</v>
      </c>
    </row>
    <row r="37" spans="1:1">
      <c r="A37" t="s">
        <v>196</v>
      </c>
    </row>
    <row r="38" spans="1:1">
      <c r="A38" t="s">
        <v>102</v>
      </c>
    </row>
    <row r="39" spans="1:1">
      <c r="A39" t="s">
        <v>103</v>
      </c>
    </row>
    <row r="40" spans="1:1">
      <c r="A40" t="s">
        <v>104</v>
      </c>
    </row>
    <row r="41" spans="1:1">
      <c r="A41" t="s">
        <v>105</v>
      </c>
    </row>
    <row r="42" spans="1:1">
      <c r="A42" t="s">
        <v>106</v>
      </c>
    </row>
    <row r="43" spans="1:1">
      <c r="A43" t="s">
        <v>107</v>
      </c>
    </row>
    <row r="44" spans="1:1">
      <c r="A44" t="s">
        <v>108</v>
      </c>
    </row>
    <row r="45" spans="1:1">
      <c r="A45" t="s">
        <v>109</v>
      </c>
    </row>
    <row r="46" spans="1:1">
      <c r="A46" t="s">
        <v>110</v>
      </c>
    </row>
    <row r="47" spans="1:1">
      <c r="A47" t="s">
        <v>111</v>
      </c>
    </row>
    <row r="48" spans="1:1">
      <c r="A48" t="s">
        <v>112</v>
      </c>
    </row>
    <row r="49" spans="1:1">
      <c r="A49" t="s">
        <v>113</v>
      </c>
    </row>
    <row r="50" spans="1:1">
      <c r="A50" t="s">
        <v>114</v>
      </c>
    </row>
    <row r="51" spans="1:1">
      <c r="A51" t="s">
        <v>115</v>
      </c>
    </row>
    <row r="52" spans="1:1">
      <c r="A52" t="s">
        <v>116</v>
      </c>
    </row>
    <row r="53" spans="1:1">
      <c r="A53" t="s">
        <v>117</v>
      </c>
    </row>
    <row r="54" spans="1:1">
      <c r="A54" t="s">
        <v>118</v>
      </c>
    </row>
    <row r="55" spans="1:1">
      <c r="A55" t="s">
        <v>119</v>
      </c>
    </row>
    <row r="56" spans="1:1">
      <c r="A56" t="s">
        <v>120</v>
      </c>
    </row>
    <row r="57" spans="1:1">
      <c r="A57" t="s">
        <v>121</v>
      </c>
    </row>
    <row r="58" spans="1:1">
      <c r="A58" t="s">
        <v>122</v>
      </c>
    </row>
    <row r="59" spans="1:1">
      <c r="A59" t="s">
        <v>123</v>
      </c>
    </row>
    <row r="60" spans="1:1">
      <c r="A60" t="s">
        <v>124</v>
      </c>
    </row>
    <row r="61" spans="1:1">
      <c r="A61" t="s">
        <v>125</v>
      </c>
    </row>
    <row r="62" spans="1:1">
      <c r="A62" t="s">
        <v>126</v>
      </c>
    </row>
    <row r="63" spans="1:1">
      <c r="A63" t="s">
        <v>127</v>
      </c>
    </row>
    <row r="64" spans="1:1">
      <c r="A64" t="s">
        <v>128</v>
      </c>
    </row>
    <row r="65" spans="1:1">
      <c r="A65" t="s">
        <v>129</v>
      </c>
    </row>
    <row r="66" spans="1:1">
      <c r="A66" t="s">
        <v>130</v>
      </c>
    </row>
    <row r="67" spans="1:1">
      <c r="A67" t="s">
        <v>131</v>
      </c>
    </row>
    <row r="68" spans="1:1">
      <c r="A68" t="s">
        <v>132</v>
      </c>
    </row>
    <row r="69" spans="1:1">
      <c r="A69" t="s">
        <v>133</v>
      </c>
    </row>
    <row r="70" spans="1:1">
      <c r="A70" t="s">
        <v>134</v>
      </c>
    </row>
    <row r="71" spans="1:1">
      <c r="A71" t="s">
        <v>135</v>
      </c>
    </row>
    <row r="72" spans="1:1">
      <c r="A72" t="s">
        <v>136</v>
      </c>
    </row>
    <row r="73" spans="1:1">
      <c r="A73" t="s">
        <v>137</v>
      </c>
    </row>
    <row r="74" spans="1:1">
      <c r="A74" t="s">
        <v>138</v>
      </c>
    </row>
    <row r="75" spans="1:1">
      <c r="A75" t="s">
        <v>139</v>
      </c>
    </row>
    <row r="76" spans="1:1">
      <c r="A76" t="s">
        <v>140</v>
      </c>
    </row>
    <row r="77" spans="1:1">
      <c r="A77" t="s">
        <v>141</v>
      </c>
    </row>
    <row r="78" spans="1:1">
      <c r="A78" t="s">
        <v>142</v>
      </c>
    </row>
    <row r="79" spans="1:1">
      <c r="A79" t="s">
        <v>143</v>
      </c>
    </row>
    <row r="80" spans="1:1">
      <c r="A80" t="s">
        <v>144</v>
      </c>
    </row>
    <row r="81" spans="1:1">
      <c r="A81" t="s">
        <v>145</v>
      </c>
    </row>
    <row r="82" spans="1:1">
      <c r="A82" t="s">
        <v>197</v>
      </c>
    </row>
    <row r="83" spans="1:1">
      <c r="A83" t="s">
        <v>198</v>
      </c>
    </row>
    <row r="84" spans="1:1">
      <c r="A84" t="s">
        <v>199</v>
      </c>
    </row>
    <row r="85" spans="1:1">
      <c r="A85" t="s">
        <v>200</v>
      </c>
    </row>
    <row r="86" spans="1:1">
      <c r="A86" t="s">
        <v>201</v>
      </c>
    </row>
    <row r="87" spans="1:1">
      <c r="A87" t="s">
        <v>202</v>
      </c>
    </row>
    <row r="88" spans="1:1">
      <c r="A88" t="s">
        <v>203</v>
      </c>
    </row>
    <row r="89" spans="1:1">
      <c r="A89" t="s">
        <v>204</v>
      </c>
    </row>
    <row r="90" spans="1:1">
      <c r="A90" t="s">
        <v>205</v>
      </c>
    </row>
    <row r="91" spans="1:1">
      <c r="A91" t="s">
        <v>206</v>
      </c>
    </row>
    <row r="92" spans="1:1">
      <c r="A92" t="s">
        <v>207</v>
      </c>
    </row>
    <row r="93" spans="1:1">
      <c r="A93" t="s">
        <v>208</v>
      </c>
    </row>
    <row r="94" spans="1:1">
      <c r="A94" t="s">
        <v>209</v>
      </c>
    </row>
    <row r="95" spans="1:1">
      <c r="A95" t="s">
        <v>210</v>
      </c>
    </row>
    <row r="96" spans="1:1">
      <c r="A96" t="s">
        <v>211</v>
      </c>
    </row>
    <row r="97" spans="1:1">
      <c r="A97" t="s">
        <v>212</v>
      </c>
    </row>
    <row r="98" spans="1:1">
      <c r="A98" t="s">
        <v>213</v>
      </c>
    </row>
    <row r="99" spans="1:1">
      <c r="A99" t="s">
        <v>153</v>
      </c>
    </row>
    <row r="100" spans="1:1">
      <c r="A100" t="s">
        <v>214</v>
      </c>
    </row>
    <row r="101" spans="1:1">
      <c r="A101" t="s">
        <v>200</v>
      </c>
    </row>
    <row r="102" spans="1:1">
      <c r="A102" t="s">
        <v>215</v>
      </c>
    </row>
    <row r="103" spans="1:1">
      <c r="A103" t="s">
        <v>202</v>
      </c>
    </row>
    <row r="104" spans="1:1">
      <c r="A104" t="s">
        <v>203</v>
      </c>
    </row>
    <row r="105" spans="1:1">
      <c r="A105" t="s">
        <v>204</v>
      </c>
    </row>
    <row r="106" spans="1:1">
      <c r="A106" t="s">
        <v>205</v>
      </c>
    </row>
    <row r="107" spans="1:1">
      <c r="A107" t="s">
        <v>206</v>
      </c>
    </row>
    <row r="108" spans="1:1">
      <c r="A108" t="s">
        <v>207</v>
      </c>
    </row>
    <row r="109" spans="1:1">
      <c r="A109" t="s">
        <v>208</v>
      </c>
    </row>
    <row r="110" spans="1:1">
      <c r="A110" t="s">
        <v>209</v>
      </c>
    </row>
    <row r="111" spans="1:1">
      <c r="A111" t="s">
        <v>210</v>
      </c>
    </row>
    <row r="112" spans="1:1">
      <c r="A112" t="s">
        <v>211</v>
      </c>
    </row>
    <row r="113" spans="1:1">
      <c r="A113" t="s">
        <v>212</v>
      </c>
    </row>
    <row r="114" spans="1:1">
      <c r="A114" t="s">
        <v>213</v>
      </c>
    </row>
    <row r="115" spans="1:1">
      <c r="A115" t="s">
        <v>153</v>
      </c>
    </row>
    <row r="116" spans="1:1">
      <c r="A116" t="s">
        <v>216</v>
      </c>
    </row>
    <row r="117" spans="1:1">
      <c r="A117" t="s">
        <v>200</v>
      </c>
    </row>
    <row r="118" spans="1:1">
      <c r="A118" t="s">
        <v>217</v>
      </c>
    </row>
    <row r="119" spans="1:1">
      <c r="A119" t="s">
        <v>202</v>
      </c>
    </row>
    <row r="120" spans="1:1">
      <c r="A120" t="s">
        <v>203</v>
      </c>
    </row>
    <row r="121" spans="1:1">
      <c r="A121" t="s">
        <v>204</v>
      </c>
    </row>
    <row r="122" spans="1:1">
      <c r="A122" t="s">
        <v>205</v>
      </c>
    </row>
    <row r="123" spans="1:1">
      <c r="A123" t="s">
        <v>206</v>
      </c>
    </row>
    <row r="124" spans="1:1">
      <c r="A124" t="s">
        <v>207</v>
      </c>
    </row>
    <row r="125" spans="1:1">
      <c r="A125" t="s">
        <v>208</v>
      </c>
    </row>
    <row r="126" spans="1:1">
      <c r="A126" t="s">
        <v>209</v>
      </c>
    </row>
    <row r="127" spans="1:1">
      <c r="A127" t="s">
        <v>210</v>
      </c>
    </row>
    <row r="128" spans="1:1">
      <c r="A128" t="s">
        <v>211</v>
      </c>
    </row>
    <row r="129" spans="1:1">
      <c r="A129" t="s">
        <v>212</v>
      </c>
    </row>
    <row r="130" spans="1:1">
      <c r="A130" t="s">
        <v>213</v>
      </c>
    </row>
    <row r="131" spans="1:1">
      <c r="A131" t="s">
        <v>153</v>
      </c>
    </row>
    <row r="132" spans="1:1">
      <c r="A132" t="s">
        <v>218</v>
      </c>
    </row>
    <row r="133" spans="1:1">
      <c r="A133" t="s">
        <v>200</v>
      </c>
    </row>
    <row r="134" spans="1:1">
      <c r="A134" t="s">
        <v>219</v>
      </c>
    </row>
    <row r="135" spans="1:1">
      <c r="A135" t="s">
        <v>202</v>
      </c>
    </row>
    <row r="136" spans="1:1">
      <c r="A136" t="s">
        <v>203</v>
      </c>
    </row>
    <row r="137" spans="1:1">
      <c r="A137" t="s">
        <v>204</v>
      </c>
    </row>
    <row r="138" spans="1:1">
      <c r="A138" t="s">
        <v>205</v>
      </c>
    </row>
    <row r="139" spans="1:1">
      <c r="A139" t="s">
        <v>206</v>
      </c>
    </row>
    <row r="140" spans="1:1">
      <c r="A140" t="s">
        <v>207</v>
      </c>
    </row>
    <row r="141" spans="1:1">
      <c r="A141" t="s">
        <v>208</v>
      </c>
    </row>
    <row r="142" spans="1:1">
      <c r="A142" t="s">
        <v>209</v>
      </c>
    </row>
    <row r="143" spans="1:1">
      <c r="A143" t="s">
        <v>210</v>
      </c>
    </row>
    <row r="144" spans="1:1">
      <c r="A144" t="s">
        <v>211</v>
      </c>
    </row>
    <row r="145" spans="1:1">
      <c r="A145" t="s">
        <v>212</v>
      </c>
    </row>
    <row r="146" spans="1:1">
      <c r="A146" t="s">
        <v>213</v>
      </c>
    </row>
    <row r="147" spans="1:1">
      <c r="A147" t="s">
        <v>153</v>
      </c>
    </row>
    <row r="148" spans="1:1">
      <c r="A148" t="s">
        <v>220</v>
      </c>
    </row>
    <row r="149" spans="1:1">
      <c r="A149" t="s">
        <v>221</v>
      </c>
    </row>
    <row r="151" spans="1:1">
      <c r="A151" t="s">
        <v>222</v>
      </c>
    </row>
    <row r="152" spans="1:1">
      <c r="A152" t="s">
        <v>223</v>
      </c>
    </row>
    <row r="153" spans="1:1">
      <c r="A153" t="s">
        <v>224</v>
      </c>
    </row>
    <row r="154" spans="1:1">
      <c r="A154" t="s">
        <v>225</v>
      </c>
    </row>
    <row r="155" spans="1:1">
      <c r="A155" t="s">
        <v>226</v>
      </c>
    </row>
    <row r="156" spans="1:1">
      <c r="A156" t="s">
        <v>227</v>
      </c>
    </row>
    <row r="157" spans="1:1">
      <c r="A157" t="s">
        <v>153</v>
      </c>
    </row>
    <row r="158" spans="1:1">
      <c r="A158" t="s">
        <v>228</v>
      </c>
    </row>
    <row r="159" spans="1:1">
      <c r="A159" t="s">
        <v>229</v>
      </c>
    </row>
    <row r="160" spans="1:1">
      <c r="A160" t="s">
        <v>230</v>
      </c>
    </row>
    <row r="162" spans="1:1">
      <c r="A162" t="s">
        <v>161</v>
      </c>
    </row>
    <row r="163" spans="1:1">
      <c r="A163" t="s">
        <v>162</v>
      </c>
    </row>
    <row r="165" spans="1:1">
      <c r="A165" t="s">
        <v>163</v>
      </c>
    </row>
    <row r="166" spans="1:1">
      <c r="A166" t="s">
        <v>164</v>
      </c>
    </row>
    <row r="167" spans="1:1">
      <c r="A167" t="s">
        <v>165</v>
      </c>
    </row>
    <row r="168" spans="1:1">
      <c r="A168" t="s">
        <v>166</v>
      </c>
    </row>
    <row r="169" spans="1:1">
      <c r="A169" t="s">
        <v>167</v>
      </c>
    </row>
    <row r="170" spans="1:1">
      <c r="A170" t="s">
        <v>168</v>
      </c>
    </row>
    <row r="171" spans="1:1">
      <c r="A171" t="s">
        <v>169</v>
      </c>
    </row>
    <row r="172" spans="1:1">
      <c r="A172" t="s">
        <v>170</v>
      </c>
    </row>
    <row r="173" spans="1:1">
      <c r="A173" t="s">
        <v>171</v>
      </c>
    </row>
    <row r="174" spans="1:1">
      <c r="A174" t="s">
        <v>172</v>
      </c>
    </row>
    <row r="175" spans="1:1">
      <c r="A175" t="s">
        <v>173</v>
      </c>
    </row>
    <row r="176" spans="1:1">
      <c r="A176" t="s">
        <v>174</v>
      </c>
    </row>
    <row r="177" spans="1:1">
      <c r="A177" t="s">
        <v>175</v>
      </c>
    </row>
    <row r="178" spans="1:1">
      <c r="A178" t="s">
        <v>176</v>
      </c>
    </row>
    <row r="179" spans="1:1">
      <c r="A179" t="s">
        <v>177</v>
      </c>
    </row>
    <row r="180" spans="1:1">
      <c r="A180" t="s">
        <v>178</v>
      </c>
    </row>
    <row r="181" spans="1:1">
      <c r="A181" t="s">
        <v>231</v>
      </c>
    </row>
    <row r="182" spans="1:1">
      <c r="A182" t="s">
        <v>180</v>
      </c>
    </row>
    <row r="183" spans="1:1">
      <c r="A183" t="s">
        <v>100</v>
      </c>
    </row>
    <row r="184" spans="1:1">
      <c r="A184" t="s">
        <v>181</v>
      </c>
    </row>
    <row r="185" spans="1:1">
      <c r="A185" t="s">
        <v>170</v>
      </c>
    </row>
    <row r="186" spans="1:1">
      <c r="A186" t="s">
        <v>182</v>
      </c>
    </row>
    <row r="187" spans="1:1">
      <c r="A187" t="s">
        <v>183</v>
      </c>
    </row>
    <row r="188" spans="1:1">
      <c r="A188" t="s">
        <v>184</v>
      </c>
    </row>
    <row r="189" spans="1:1">
      <c r="A189" t="s">
        <v>62</v>
      </c>
    </row>
    <row r="192" s="1" customFormat="1"/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模板</vt:lpstr>
      <vt:lpstr>预处理代码</vt:lpstr>
      <vt:lpstr>表头列宽字体字号调整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kingpin</cp:lastModifiedBy>
  <dcterms:created xsi:type="dcterms:W3CDTF">2019-08-06T11:28:00Z</dcterms:created>
  <dcterms:modified xsi:type="dcterms:W3CDTF">2019-09-02T19:29:47Z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1033-11.1.0.8722</vt:lpwstr>
  </property>
</Properties>
</file>